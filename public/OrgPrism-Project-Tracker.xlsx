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9C394194-1D69-4D18-9176-72B9B32D5CAE}" xr6:coauthVersionLast="47" xr6:coauthVersionMax="47" xr10:uidLastSave="{00000000-0000-0000-0000-000000000000}"/>
  <bookViews>
    <workbookView xWindow="-3540" yWindow="-17388" windowWidth="30936" windowHeight="16776" xr2:uid="{00000000-000D-0000-FFFF-FFFF00000000}"/>
  </bookViews>
  <sheets>
    <sheet name="Executive Summary" sheetId="1" r:id="rId1"/>
    <sheet name="Roadmap" sheetId="2" r:id="rId2"/>
    <sheet name="Feature Backlog" sheetId="3" r:id="rId3"/>
    <sheet name="Sprint Tracker" sheetId="4" r:id="rId4"/>
    <sheet name="Risk 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4" l="1"/>
  <c r="F38" i="3"/>
</calcChain>
</file>

<file path=xl/sharedStrings.xml><?xml version="1.0" encoding="utf-8"?>
<sst xmlns="http://schemas.openxmlformats.org/spreadsheetml/2006/main" count="489" uniqueCount="282">
  <si>
    <t>OrgPrism — Project Tracker</t>
  </si>
  <si>
    <t>Salesforce CPQ + Revenue Cloud Audit Platform · Native Lightning Web Component Build</t>
  </si>
  <si>
    <t>Project Owner</t>
  </si>
  <si>
    <t>Maulik (Salesforce CPQ Architect)</t>
  </si>
  <si>
    <t>Engineering Lead</t>
  </si>
  <si>
    <t>Maulik</t>
  </si>
  <si>
    <t>Target Org</t>
  </si>
  <si>
    <t>Techtorch Enterprise (development sandbox)</t>
  </si>
  <si>
    <t>Project Start</t>
  </si>
  <si>
    <t>Current Sprint</t>
  </si>
  <si>
    <t>Sprint 5 — Detector + Attribution Slice 5</t>
  </si>
  <si>
    <t>Status Date</t>
  </si>
  <si>
    <t>Overall Status</t>
  </si>
  <si>
    <t>On Track</t>
  </si>
  <si>
    <t>Phase</t>
  </si>
  <si>
    <t>Foundation complete · Detector engine build in progress</t>
  </si>
  <si>
    <t>KEY METRICS</t>
  </si>
  <si>
    <t>Total Deliverables</t>
  </si>
  <si>
    <t>Completed</t>
  </si>
  <si>
    <t>In Progress</t>
  </si>
  <si>
    <t>Backlog</t>
  </si>
  <si>
    <t>Completion Rate</t>
  </si>
  <si>
    <t>Apex Test Pass Rate</t>
  </si>
  <si>
    <t>Apex Tests Total</t>
  </si>
  <si>
    <t>Active Custom Objects</t>
  </si>
  <si>
    <t>24.6%</t>
  </si>
  <si>
    <t>100%</t>
  </si>
  <si>
    <t>EXECUTIVE SUMMARY</t>
  </si>
  <si>
    <t>OrgPrism is building a Lightning-native audit platform for Salesforce CPQ and Revenue Cloud orgs. The platform identifies revenue leakage, governance gaps, and pricing-discipline failures using forensic detectors that run against real transactional records.</t>
  </si>
  <si>
    <t/>
  </si>
  <si>
    <t>CURRENT STATE: Foundation complete. SFDX scaffold, 6 custom objects, Apex detector framework, and 5 of approximately 20 planned detectors deployed to the Techtorch sandbox. Core LWC primitives and design tokens established. End-to-end happy path proven with a working scan flow.</t>
  </si>
  <si>
    <t>BUILDING NOW: Remaining detectors (REN-002, REN-003, REN-004, ORD-FOR-002/003, QL-FOR-002, plus governance, pipeline, pricing, billing config detectors). Hero dashboard and Findings tab refinement. Recovery action lifecycle.</t>
  </si>
  <si>
    <t>AHEAD: Issues tab, Plan tab, executive PDF deliverable, scheduled scans, package detection, attribution map, recovery queue, complexity scoring, AI remediation plan, full SaaS parity, mobile + dark mode, FLS hardening, AppExchange security review, namespaced managed package, listing assets.</t>
  </si>
  <si>
    <t>KEY DEPENDENCY: PDE org provisioning for managed package + AppExchange listing.</t>
  </si>
  <si>
    <t>OrgPrism — Delivery Roadmap</t>
  </si>
  <si>
    <t>Phases, milestones, target dates, owner</t>
  </si>
  <si>
    <t>Description</t>
  </si>
  <si>
    <t>Owner</t>
  </si>
  <si>
    <t>Start</t>
  </si>
  <si>
    <t>Target End</t>
  </si>
  <si>
    <t>Status</t>
  </si>
  <si>
    <t>% Complete</t>
  </si>
  <si>
    <t>Phase 0</t>
  </si>
  <si>
    <t>SFDX scaffold, custom objects, permission set, detector framework</t>
  </si>
  <si>
    <t>Done</t>
  </si>
  <si>
    <t>Phase 1</t>
  </si>
  <si>
    <t>Detector engine — first 5 detectors (REN-001, DSC-FOR-001, QL-FOR-001, ORD-FOR-001) + attribution tracers</t>
  </si>
  <si>
    <t>Phase 2</t>
  </si>
  <si>
    <t>LWC foundation — design tokens, base primitives, Apex services</t>
  </si>
  <si>
    <t>Phase 3</t>
  </si>
  <si>
    <t>Detector engine — remaining 15 detectors across renewals, governance, pipeline, billing, discounting</t>
  </si>
  <si>
    <t>Planned</t>
  </si>
  <si>
    <t>Phase 4</t>
  </si>
  <si>
    <t>Hero + Summary tab + Findings tab (Revenue Leakage, Governance, Pipeline, Pricing)</t>
  </si>
  <si>
    <t>Phase 5</t>
  </si>
  <si>
    <t>Issues tab + Plan tab + Cross-cutting (Export, PDF report, Schedule)</t>
  </si>
  <si>
    <t>Phase 6</t>
  </si>
  <si>
    <t>Polish — mobile, dark mode, accessibility, AppExchange readiness</t>
  </si>
  <si>
    <t>Phase 7</t>
  </si>
  <si>
    <t>Apex FLS hardening + AppExchange security review prep</t>
  </si>
  <si>
    <t>Phase 8</t>
  </si>
  <si>
    <t>Managed package + AppExchange listing (awaiting PDE org)</t>
  </si>
  <si>
    <t>OrgPrism — Feature Backlog</t>
  </si>
  <si>
    <t>Every epic and user story with acceptance criteria, priority, story points, status</t>
  </si>
  <si>
    <t>ID</t>
  </si>
  <si>
    <t>Epic</t>
  </si>
  <si>
    <t>User Story</t>
  </si>
  <si>
    <t>Acceptance Criteria</t>
  </si>
  <si>
    <t>Priority</t>
  </si>
  <si>
    <t>Pts</t>
  </si>
  <si>
    <t>Sprint</t>
  </si>
  <si>
    <t>OP-001</t>
  </si>
  <si>
    <t>Forensic Engine</t>
  </si>
  <si>
    <t>Apex detector framework with IDetector contract + base class + service orchestrator</t>
  </si>
  <si>
    <t>IDetector interface, ForensicScanService runs all detectors per scan, error isolation per detector</t>
  </si>
  <si>
    <t>P0</t>
  </si>
  <si>
    <t>S1</t>
  </si>
  <si>
    <t>OP-002</t>
  </si>
  <si>
    <t>Data Model</t>
  </si>
  <si>
    <t>5 custom objects with fields + permissions: ForensicScan__c, ForensicFinding__c, AttributionTrace__c, RecoveryAction__c, ScanSchedule__c</t>
  </si>
  <si>
    <t>Objects deployed, OrgPrism permission set grants CRUD, lookup relationships established</t>
  </si>
  <si>
    <t>OP-003</t>
  </si>
  <si>
    <t>REN-001 renewal uplift reconciliation detector + Class C conflicting automation tracer</t>
  </si>
  <si>
    <t>Detects renewals priced below entitled uplift, attribution identifies conflicting Flow / Process Builder</t>
  </si>
  <si>
    <t>S2</t>
  </si>
  <si>
    <t>OP-004</t>
  </si>
  <si>
    <t>DSC-FOR-001 promo discount roll-off failure detector + Class D missing governance tracer</t>
  </si>
  <si>
    <t>Detects discounts kept past their end date, attribution identifies missing approval rule coverage</t>
  </si>
  <si>
    <t>S3</t>
  </si>
  <si>
    <t>OP-005</t>
  </si>
  <si>
    <t>QL-FOR-001 bundle required option at zero NetPrice detector + Class E poor data quality tracer</t>
  </si>
  <si>
    <t>Detects required bundle options charged at zero, attribution identifies missing Charge Type field</t>
  </si>
  <si>
    <t>S4</t>
  </si>
  <si>
    <t>OP-006</t>
  </si>
  <si>
    <t>ORD-FOR-001 order activated with no billing schedule detector + Class A system disconnect tracer</t>
  </si>
  <si>
    <t>Detects activated Orders lacking BillingSchedule, attribution identifies CPQ↔Billing integration gap</t>
  </si>
  <si>
    <t>S5</t>
  </si>
  <si>
    <t>OP-007</t>
  </si>
  <si>
    <t>REN-002 renewal below current list price detector + Class B manual override tracer</t>
  </si>
  <si>
    <t>Detects renewals below current PricebookEntry, attribution identifies reps overriding without approval</t>
  </si>
  <si>
    <t>S6</t>
  </si>
  <si>
    <t>OP-008</t>
  </si>
  <si>
    <t>Quality</t>
  </si>
  <si>
    <t>≥75% Apex test coverage with negative-path tests on detectors + attribution</t>
  </si>
  <si>
    <t>91 tests pass for first 5 detectors; coverage threshold maintained as new detectors added</t>
  </si>
  <si>
    <t>S1-S6</t>
  </si>
  <si>
    <t>OP-009</t>
  </si>
  <si>
    <t>Cross-cutting</t>
  </si>
  <si>
    <t>Forensic scan background job + chaining for long-running detector runs</t>
  </si>
  <si>
    <t>Queueable Apex chains detectors, scan record updates status (Pending → Running → Completed)</t>
  </si>
  <si>
    <t>OP-010</t>
  </si>
  <si>
    <t>Plain-English finding renderer with template + Gemini fallback</t>
  </si>
  <si>
    <t>Detector emits structured payload, renderer produces consultant-readable prose</t>
  </si>
  <si>
    <t>P1</t>
  </si>
  <si>
    <t>OP-011</t>
  </si>
  <si>
    <t>LWC Foundation</t>
  </si>
  <si>
    <t>Design tokens (orgPrismTokens.css), base LWC primitives (dashboardCard, severityBadge, moneyDisplay, statusBar)</t>
  </si>
  <si>
    <t>Tokens shared via static resource, primitives self-contained and themeable</t>
  </si>
  <si>
    <t>OP-012</t>
  </si>
  <si>
    <t>Apex DTO + service classes powering the dashboard (DashboardController.getDashboardSummary)</t>
  </si>
  <si>
    <t>Single aggregated read, cacheable wire, refresh on scan completion</t>
  </si>
  <si>
    <t>OP-013</t>
  </si>
  <si>
    <t>REN-003 pipeline detector — Quote expired, no renewal opened</t>
  </si>
  <si>
    <t>Detects expired renewal opportunities without a successor Quote</t>
  </si>
  <si>
    <t>S7</t>
  </si>
  <si>
    <t>OP-014</t>
  </si>
  <si>
    <t>REN-004 — Renewal Quote stuck in Draft past contract end</t>
  </si>
  <si>
    <t>Detects Draft renewal Quotes whose original contract end date has passed</t>
  </si>
  <si>
    <t>OP-015</t>
  </si>
  <si>
    <t>DSC-FOR-002 — Stacked discounts beyond approved cap</t>
  </si>
  <si>
    <t>Detects multiple discount sources summing above the approval threshold</t>
  </si>
  <si>
    <t>OP-016</t>
  </si>
  <si>
    <t>QL-FOR-002 — Quote line approval skipped</t>
  </si>
  <si>
    <t>Detects Quote lines that should have routed through approval but did not</t>
  </si>
  <si>
    <t>S8</t>
  </si>
  <si>
    <t>OP-017</t>
  </si>
  <si>
    <t>ORD-FOR-002 + ORD-FOR-003 — Quote→Order variance detectors (new business + amendments)</t>
  </si>
  <si>
    <t>Detects discrepancies between Quote line and resulting Order line on price / quantity / product</t>
  </si>
  <si>
    <t>OP-018</t>
  </si>
  <si>
    <t>SUB-FOR-001 + PROV-FOR-001 + PROV-FOR-002 — Subscription / Provisioning detectors</t>
  </si>
  <si>
    <t>Detects subscriptions without contract reference, active subscriptions without Asset records</t>
  </si>
  <si>
    <t>S9</t>
  </si>
  <si>
    <t>OP-019</t>
  </si>
  <si>
    <t>OPP-FOR-001 + CON-FOR-001 + AMD-FOR-001 — Governance detectors</t>
  </si>
  <si>
    <t>Detects closed-won Opps without Quote, expired contracts, amendments missing effective date</t>
  </si>
  <si>
    <t>OP-020</t>
  </si>
  <si>
    <t>CT-FOR-001 + MDQ-FOR-001 + AST-FOR-001 — Pricing-lock + Asset detectors</t>
  </si>
  <si>
    <t>Detects expired contracted prices still applied, MDQ segment inconsistencies, terminated Assets mid-contract</t>
  </si>
  <si>
    <t>S10</t>
  </si>
  <si>
    <t>OP-021</t>
  </si>
  <si>
    <t>Dashboard</t>
  </si>
  <si>
    <t>Hero region with score ring, package detection chip, severity tiles, New Scan + Forensics button, Schedule button</t>
  </si>
  <si>
    <t>Native LWC, in-SVG score label, color thresholds, status banner after scan completes</t>
  </si>
  <si>
    <t>S11</t>
  </si>
  <si>
    <t>OP-022</t>
  </si>
  <si>
    <t>Schedule modal with Frequency pills (One-time / Daily / Weekly / Monthly) + conditional fields</t>
  </si>
  <si>
    <t>Cron expression generated per frequency, ScanSchedule__c persists, scheduled job lifecycle managed</t>
  </si>
  <si>
    <t>OP-023</t>
  </si>
  <si>
    <t>Findings Tab</t>
  </si>
  <si>
    <t>Revenue Leakage view — 6-theme grid + biggest leaks top-5 + confidence chip + 3 action banners</t>
  </si>
  <si>
    <t>Verified vs Estimated split, Opportunity baseline percentage, banners route to Attribution / Recovery / PDF</t>
  </si>
  <si>
    <t>S12</t>
  </si>
  <si>
    <t>OP-024</t>
  </si>
  <si>
    <t>Governance Risk + Pipeline Risk cards (shared LWC parameterized by category)</t>
  </si>
  <si>
    <t>Detector summary grid + finding rows + filterable toolbar</t>
  </si>
  <si>
    <t>OP-025</t>
  </si>
  <si>
    <t>Pricing Discipline letter grade card with A-F grade + offenders + manual override percent</t>
  </si>
  <si>
    <t>PricingDisciplineController port from SaaS pricing-discipline-grade logic</t>
  </si>
  <si>
    <t>S13</t>
  </si>
  <si>
    <t>OP-026</t>
  </si>
  <si>
    <t>Issues Tab</t>
  </si>
  <si>
    <t>Top Issues to Address — top 5 grouped by category with related-finding expansion</t>
  </si>
  <si>
    <t>Title normalization strips embedded record numbers, modal drill-down preserves originals</t>
  </si>
  <si>
    <t>S14</t>
  </si>
  <si>
    <t>OP-027</t>
  </si>
  <si>
    <t>All Issues panel with search + severity + status pills + bulk Acknowledge / Resolve / Not Relevant</t>
  </si>
  <si>
    <t>Selection persists across filter changes, suppression record auto-created on False Positive / Not Relevant</t>
  </si>
  <si>
    <t>OP-028</t>
  </si>
  <si>
    <t>Issue Detail Modal + Issue Detail Page with affected records list</t>
  </si>
  <si>
    <t>Dynamic SOQL resolves PrimaryRecordId__c to record name across standard + custom objects</t>
  </si>
  <si>
    <t>OP-029</t>
  </si>
  <si>
    <t>Summary Tab</t>
  </si>
  <si>
    <t>Impact x Effort 3x3 grid (What to fix first) + Score Trend + Since-last-scan + Org Complexity + AI Analysis + Category Performance + AI Remediation Plan</t>
  </si>
  <si>
    <t>Seven advanced visualization cards forming the strategic summary view</t>
  </si>
  <si>
    <t>S15</t>
  </si>
  <si>
    <t>OP-030</t>
  </si>
  <si>
    <t>Standalone Pages</t>
  </si>
  <si>
    <t>Attribution Map + Recovery Queue + Scan History + Forensic Diff (What's Changed) pages</t>
  </si>
  <si>
    <t>Four standalone FlexiPages + Custom Tabs accessible from app launcher</t>
  </si>
  <si>
    <t>OP-031</t>
  </si>
  <si>
    <t>Reporting</t>
  </si>
  <si>
    <t>Executive PDF Report (5-page consultant deliverable) via Visualforce</t>
  </si>
  <si>
    <t>VF page renderAs PDF, Apex backing aggregates scan + findings + attribution + recovery actions</t>
  </si>
  <si>
    <t>S16</t>
  </si>
  <si>
    <t>OP-032</t>
  </si>
  <si>
    <t>Suppression engine + cross-LWC scan-completed event for reactive refresh</t>
  </si>
  <si>
    <t>ForensicSuppression__c persists False Positive / Not Relevant; window event triggers refreshApex across all cards</t>
  </si>
  <si>
    <t>OP-033</t>
  </si>
  <si>
    <t>Polish</t>
  </si>
  <si>
    <t>Dark mode + Apex FLS hardening + AppExchange security review prep + managed package</t>
  </si>
  <si>
    <t>WCAG AA contrast, Schema.sObjectType.isAccessible() guards, namespaced package, listing assets, security review pass</t>
  </si>
  <si>
    <t>S17-S20</t>
  </si>
  <si>
    <t>TOTAL</t>
  </si>
  <si>
    <t>OrgPrism — Sprint Tracker</t>
  </si>
  <si>
    <t>Sprint-by-sprint deliveries with velocity</t>
  </si>
  <si>
    <t>Dates</t>
  </si>
  <si>
    <t>Theme</t>
  </si>
  <si>
    <t>Delivered</t>
  </si>
  <si>
    <t>Points</t>
  </si>
  <si>
    <t>Foundation</t>
  </si>
  <si>
    <t>SFDX scaffold, 5 custom objects + fields, Apex detector framework (IDetector + base + service), permission set + tab + app metadata</t>
  </si>
  <si>
    <t>Slice 2 — Renewal Uplift + Discount Rolloff</t>
  </si>
  <si>
    <t>REN-001 detector + Class C conflicting automation tracer; DSC-FOR-001 detector + Class D missing governance tracer; renderer templates + unit tests</t>
  </si>
  <si>
    <t>Slice 3 — Renewal Below List</t>
  </si>
  <si>
    <t>REN-002 renewal-below-list-price detector + Class B manual override tracer + Pricebook seed + tests</t>
  </si>
  <si>
    <t>Slice 4 — Bundle Zero NetPrice</t>
  </si>
  <si>
    <t>QL-FOR-001 bundle required option zero NetPrice detector + Class E poor data quality tracer + bundle fixture + tests</t>
  </si>
  <si>
    <t>Slice 5 — Order Billing Schedule</t>
  </si>
  <si>
    <t>ORD-FOR-001 detector + Class A system disconnect tracer + activated orders fixture + tests</t>
  </si>
  <si>
    <t>Design tokens, base primitives, Apex services, DashboardController, first hero pieces</t>
  </si>
  <si>
    <t>TBD</t>
  </si>
  <si>
    <t>Renewal Pipeline detectors</t>
  </si>
  <si>
    <t>REN-003 + REN-004 + DSC-FOR-002 detectors with attribution + tests</t>
  </si>
  <si>
    <t>Quote Lines + Order Variance</t>
  </si>
  <si>
    <t>QL-FOR-002 + ORD-FOR-002 + ORD-FOR-003 detectors with attribution + tests</t>
  </si>
  <si>
    <t>Subscriptions + Governance</t>
  </si>
  <si>
    <t>SUB-FOR-001 + PROV-FOR-001/002 + OPP-FOR-001 + CON-FOR-001 + AMD-FOR-001</t>
  </si>
  <si>
    <t>Pricing Locks + Assets</t>
  </si>
  <si>
    <t>CT-FOR-001 + MDQ-FOR-001 + AST-FOR-001 + final detector slice</t>
  </si>
  <si>
    <t>Hero + Schedule</t>
  </si>
  <si>
    <t>Hero region with score ring + scan launcher + schedule modal with frequency-driven fields</t>
  </si>
  <si>
    <t>Findings Tab — Revenue Leakage</t>
  </si>
  <si>
    <t>Revenue Leakage view, themes grid, biggest leaks, action banners, Governance + Pipeline cards</t>
  </si>
  <si>
    <t>Findings Tab — Pricing Discipline</t>
  </si>
  <si>
    <t>Pricing Discipline grade card + offenders + median/avg discount + manual override pct</t>
  </si>
  <si>
    <t>Top Issues with grouping + All Issues with bulk actions + Issue Detail Modal + Issue Detail Page + suppression engine</t>
  </si>
  <si>
    <t>Summary Tab Cards</t>
  </si>
  <si>
    <t>Impact x Effort + Score Trend + Since-last-scan + Org Complexity + AI Analysis + Category Performance + AI Remediation Plan; Attribution Map + Recovery Queue + Scan History + Forensic Diff standalone pages</t>
  </si>
  <si>
    <t>Reporting + Cross-cutting</t>
  </si>
  <si>
    <t>Executive PDF report, CSV exports, scan-completed event refresh wiring, polish round</t>
  </si>
  <si>
    <t>S17–S18</t>
  </si>
  <si>
    <t>Polish + Hardening</t>
  </si>
  <si>
    <t>Mobile responsive, dark mode, accessibility, Apex FLS hardening</t>
  </si>
  <si>
    <t>S19–S20</t>
  </si>
  <si>
    <t>Package + AppExchange</t>
  </si>
  <si>
    <t>When PDE arrives: namespace, package up, security review, listing assets</t>
  </si>
  <si>
    <t>TOTAL POINTS (PLAN)</t>
  </si>
  <si>
    <t>OrgPrism — Risk Log</t>
  </si>
  <si>
    <t>Project risks with probability, impact, mitigation, owner, status</t>
  </si>
  <si>
    <t>Risk</t>
  </si>
  <si>
    <t>Probability</t>
  </si>
  <si>
    <t>Impact</t>
  </si>
  <si>
    <t>Severity</t>
  </si>
  <si>
    <t>Mitigation</t>
  </si>
  <si>
    <t>R-001</t>
  </si>
  <si>
    <t>CPQ license not yet active in Techtorch — needed for end-to-end validation of CPQ-specific detectors and the Pricing Discipline / Org Complexity cards</t>
  </si>
  <si>
    <t>High</t>
  </si>
  <si>
    <t>Defensive coding via Schema.getGlobalDescribe() ensures graceful handling when CPQ types are absent. Acquire CPQ license before Phase 4 starts.</t>
  </si>
  <si>
    <t>Active</t>
  </si>
  <si>
    <t>R-002</t>
  </si>
  <si>
    <t>AppExchange security review may require additional FLS / CRUD enforcement passes</t>
  </si>
  <si>
    <t>Medium</t>
  </si>
  <si>
    <t>Phase 7 dedicated to FLS + sharing model hardening before submission. SOQL injection guards already in place via String.escapeSingleQuotes().</t>
  </si>
  <si>
    <t>R-003</t>
  </si>
  <si>
    <t>PDE org arrival delay impacts AppExchange listing timeline</t>
  </si>
  <si>
    <t>Continue feature build on Techtorch in parallel. Plan package-ready code so only namespacing remains when PDE lands.</t>
  </si>
  <si>
    <t>R-004</t>
  </si>
  <si>
    <t>Detector count (~20 planned) creates testing surface area that grows quadratically with attribution tracers</t>
  </si>
  <si>
    <t>Standardize @TestVisible evaluate helpers + shared stub data factory. Maintain ≥75% coverage with each new detector slice.</t>
  </si>
  <si>
    <t>R-005</t>
  </si>
  <si>
    <t>Managed-package namespace conflicts with existing customer org metadata (custom object overlap)</t>
  </si>
  <si>
    <t>Low</t>
  </si>
  <si>
    <t>Adopt OrgPrism namespace prefix on all custom objects + Apex controllers when packaging. Naming convention already consistent.</t>
  </si>
  <si>
    <t>Mitigated</t>
  </si>
  <si>
    <t>R-006</t>
  </si>
  <si>
    <t>Salesforce server-side cacheable=true wire results may lag scan completion causing stale dashboard data</t>
  </si>
  <si>
    <t>Planned: heroBlock dispatches cross-LWC scan-completed event; subscribers refreshApex. To be wired in Phase 4/5 once cards exist.</t>
  </si>
  <si>
    <t>R-007</t>
  </si>
  <si>
    <t>Empty Opportunity history in some customer orgs skews Estimated Revenue Leakage to system defaults</t>
  </si>
  <si>
    <t>Apex falls back to $10K median deal size when no closed-won Opps exist in last 365 days. Calibration documented for consultants.</t>
  </si>
  <si>
    <t>Accepted</t>
  </si>
  <si>
    <t>June 1,2026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</si>
</sst>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17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FFFFFF"/>
      <name val="Calibri"/>
    </font>
    <font>
      <b/>
      <sz val="11"/>
      <color rgb="FF6B7280"/>
      <name val="Calibri"/>
    </font>
    <font>
      <b/>
      <sz val="11"/>
      <color rgb="FF0F2C59"/>
      <name val="Calibri"/>
    </font>
    <font>
      <b/>
      <sz val="11"/>
      <color rgb="FF047857"/>
      <name val="Calibri"/>
    </font>
    <font>
      <b/>
      <sz val="12"/>
      <color rgb="FF0F2C59"/>
      <name val="Calibri"/>
    </font>
    <font>
      <b/>
      <sz val="10"/>
      <color rgb="FF6B7280"/>
      <name val="Calibri"/>
    </font>
    <font>
      <b/>
      <sz val="22"/>
      <color rgb="FF0F2C59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B45309"/>
      <name val="Calibri"/>
    </font>
    <font>
      <b/>
      <sz val="11"/>
      <color rgb="FF2563EB"/>
      <name val="Calibri"/>
    </font>
    <font>
      <b/>
      <sz val="11"/>
      <color rgb="FFB91C1C"/>
      <name val="Calibri"/>
    </font>
    <font>
      <b/>
      <sz val="11"/>
      <color rgb="FF0369A1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2C59"/>
      </patternFill>
    </fill>
    <fill>
      <patternFill patternType="solid">
        <fgColor rgb="FF0A1F40"/>
      </patternFill>
    </fill>
    <fill>
      <patternFill patternType="solid">
        <fgColor rgb="FFD1FAE5"/>
      </patternFill>
    </fill>
    <fill>
      <patternFill patternType="solid">
        <fgColor rgb="FFF3F4F6"/>
      </patternFill>
    </fill>
    <fill>
      <patternFill patternType="solid">
        <fgColor rgb="FFFAFAFA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5" fillId="4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11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4" fontId="9" fillId="6" borderId="1" xfId="0" applyNumberFormat="1" applyFont="1" applyFill="1" applyBorder="1" applyAlignment="1">
      <alignment vertical="center" wrapText="1"/>
    </xf>
    <xf numFmtId="9" fontId="11" fillId="6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C59"/>
  </sheetPr>
  <dimension ref="A1:H29"/>
  <sheetViews>
    <sheetView showGridLines="0" tabSelected="1" topLeftCell="A3" workbookViewId="0">
      <selection activeCell="A29" sqref="A29:H29"/>
    </sheetView>
  </sheetViews>
  <sheetFormatPr defaultRowHeight="14.4"/>
  <cols>
    <col min="1" max="1" width="22" customWidth="1"/>
    <col min="2" max="2" width="32" customWidth="1"/>
    <col min="3" max="8" width="18" customWidth="1"/>
  </cols>
  <sheetData>
    <row r="1" spans="1:8" ht="42" customHeight="1">
      <c r="A1" s="31" t="s">
        <v>0</v>
      </c>
      <c r="B1" s="31"/>
      <c r="C1" s="31"/>
      <c r="D1" s="31"/>
      <c r="E1" s="31"/>
      <c r="F1" s="31"/>
      <c r="G1" s="31"/>
      <c r="H1" s="31"/>
    </row>
    <row r="2" spans="1:8" ht="24" customHeight="1">
      <c r="A2" s="32" t="s">
        <v>1</v>
      </c>
      <c r="B2" s="32"/>
      <c r="C2" s="32"/>
      <c r="D2" s="32"/>
      <c r="E2" s="32"/>
      <c r="F2" s="32"/>
      <c r="G2" s="32"/>
      <c r="H2" s="32"/>
    </row>
    <row r="4" spans="1:8">
      <c r="A4" s="1" t="s">
        <v>2</v>
      </c>
      <c r="B4" s="2" t="s">
        <v>3</v>
      </c>
    </row>
    <row r="5" spans="1:8">
      <c r="A5" s="1" t="s">
        <v>4</v>
      </c>
      <c r="B5" s="2" t="s">
        <v>5</v>
      </c>
    </row>
    <row r="6" spans="1:8">
      <c r="A6" s="1" t="s">
        <v>6</v>
      </c>
      <c r="B6" s="2" t="s">
        <v>7</v>
      </c>
    </row>
    <row r="7" spans="1:8">
      <c r="A7" s="1" t="s">
        <v>8</v>
      </c>
      <c r="B7" s="3">
        <v>46142.770833333328</v>
      </c>
    </row>
    <row r="8" spans="1:8">
      <c r="A8" s="1" t="s">
        <v>9</v>
      </c>
      <c r="B8" s="2" t="s">
        <v>10</v>
      </c>
    </row>
    <row r="9" spans="1:8">
      <c r="A9" s="1" t="s">
        <v>11</v>
      </c>
      <c r="B9" s="3">
        <v>46176.313268067126</v>
      </c>
    </row>
    <row r="10" spans="1:8">
      <c r="A10" s="1" t="s">
        <v>12</v>
      </c>
      <c r="B10" s="4" t="s">
        <v>13</v>
      </c>
    </row>
    <row r="11" spans="1:8">
      <c r="A11" s="1" t="s">
        <v>14</v>
      </c>
      <c r="B11" s="2" t="s">
        <v>15</v>
      </c>
    </row>
    <row r="13" spans="1:8" ht="24" customHeight="1">
      <c r="A13" s="33" t="s">
        <v>16</v>
      </c>
      <c r="B13" s="33"/>
      <c r="C13" s="33"/>
      <c r="D13" s="33"/>
      <c r="E13" s="33"/>
      <c r="F13" s="33"/>
      <c r="G13" s="33"/>
      <c r="H13" s="33"/>
    </row>
    <row r="14" spans="1:8">
      <c r="A14" s="34" t="s">
        <v>17</v>
      </c>
      <c r="B14" s="34"/>
      <c r="C14" s="34" t="s">
        <v>18</v>
      </c>
      <c r="D14" s="34"/>
      <c r="E14" s="34" t="s">
        <v>19</v>
      </c>
      <c r="F14" s="34"/>
      <c r="G14" s="34" t="s">
        <v>20</v>
      </c>
      <c r="H14" s="34"/>
    </row>
    <row r="15" spans="1:8" ht="36" customHeight="1">
      <c r="A15" s="35">
        <v>130</v>
      </c>
      <c r="B15" s="35"/>
      <c r="C15" s="35">
        <v>32</v>
      </c>
      <c r="D15" s="35"/>
      <c r="E15" s="35">
        <v>8</v>
      </c>
      <c r="F15" s="35"/>
      <c r="G15" s="35">
        <v>90</v>
      </c>
      <c r="H15" s="35"/>
    </row>
    <row r="17" spans="1:8">
      <c r="A17" s="34" t="s">
        <v>21</v>
      </c>
      <c r="B17" s="34"/>
      <c r="C17" s="34" t="s">
        <v>22</v>
      </c>
      <c r="D17" s="34"/>
      <c r="E17" s="34" t="s">
        <v>23</v>
      </c>
      <c r="F17" s="34"/>
      <c r="G17" s="34" t="s">
        <v>24</v>
      </c>
      <c r="H17" s="34"/>
    </row>
    <row r="18" spans="1:8" ht="36" customHeight="1">
      <c r="A18" s="35" t="s">
        <v>25</v>
      </c>
      <c r="B18" s="35"/>
      <c r="C18" s="35" t="s">
        <v>26</v>
      </c>
      <c r="D18" s="35"/>
      <c r="E18" s="35"/>
      <c r="F18" s="35"/>
      <c r="G18" s="35">
        <v>6</v>
      </c>
      <c r="H18" s="35"/>
    </row>
    <row r="20" spans="1:8" ht="24" customHeight="1">
      <c r="A20" s="33" t="s">
        <v>27</v>
      </c>
      <c r="B20" s="33"/>
      <c r="C20" s="33"/>
      <c r="D20" s="33"/>
      <c r="E20" s="33"/>
      <c r="F20" s="33"/>
      <c r="G20" s="33"/>
      <c r="H20" s="33"/>
    </row>
    <row r="21" spans="1:8" ht="48" customHeight="1">
      <c r="A21" s="36" t="s">
        <v>28</v>
      </c>
      <c r="B21" s="36"/>
      <c r="C21" s="36"/>
      <c r="D21" s="36"/>
      <c r="E21" s="36"/>
      <c r="F21" s="36"/>
      <c r="G21" s="36"/>
      <c r="H21" s="36"/>
    </row>
    <row r="22" spans="1:8" ht="7.95" customHeight="1">
      <c r="A22" s="36" t="s">
        <v>29</v>
      </c>
      <c r="B22" s="36"/>
      <c r="C22" s="36"/>
      <c r="D22" s="36"/>
      <c r="E22" s="36"/>
      <c r="F22" s="36"/>
      <c r="G22" s="36"/>
      <c r="H22" s="36"/>
    </row>
    <row r="23" spans="1:8" ht="48" customHeight="1">
      <c r="A23" s="36" t="s">
        <v>30</v>
      </c>
      <c r="B23" s="36"/>
      <c r="C23" s="36"/>
      <c r="D23" s="36"/>
      <c r="E23" s="36"/>
      <c r="F23" s="36"/>
      <c r="G23" s="36"/>
      <c r="H23" s="36"/>
    </row>
    <row r="24" spans="1:8" ht="7.95" customHeight="1">
      <c r="A24" s="36" t="s">
        <v>29</v>
      </c>
      <c r="B24" s="36"/>
      <c r="C24" s="36"/>
      <c r="D24" s="36"/>
      <c r="E24" s="36"/>
      <c r="F24" s="36"/>
      <c r="G24" s="36"/>
      <c r="H24" s="36"/>
    </row>
    <row r="25" spans="1:8" ht="48" customHeight="1">
      <c r="A25" s="36" t="s">
        <v>31</v>
      </c>
      <c r="B25" s="36"/>
      <c r="C25" s="36"/>
      <c r="D25" s="36"/>
      <c r="E25" s="36"/>
      <c r="F25" s="36"/>
      <c r="G25" s="36"/>
      <c r="H25" s="36"/>
    </row>
    <row r="26" spans="1:8" ht="7.95" customHeight="1">
      <c r="A26" s="36" t="s">
        <v>29</v>
      </c>
      <c r="B26" s="36"/>
      <c r="C26" s="36"/>
      <c r="D26" s="36"/>
      <c r="E26" s="36"/>
      <c r="F26" s="36"/>
      <c r="G26" s="36"/>
      <c r="H26" s="36"/>
    </row>
    <row r="27" spans="1:8" ht="48" customHeight="1">
      <c r="A27" s="36" t="s">
        <v>32</v>
      </c>
      <c r="B27" s="36"/>
      <c r="C27" s="36"/>
      <c r="D27" s="36"/>
      <c r="E27" s="36"/>
      <c r="F27" s="36"/>
      <c r="G27" s="36"/>
      <c r="H27" s="36"/>
    </row>
    <row r="28" spans="1:8" ht="7.95" customHeight="1">
      <c r="A28" s="36" t="s">
        <v>29</v>
      </c>
      <c r="B28" s="36"/>
      <c r="C28" s="36"/>
      <c r="D28" s="36"/>
      <c r="E28" s="36"/>
      <c r="F28" s="36"/>
      <c r="G28" s="36"/>
      <c r="H28" s="36"/>
    </row>
    <row r="29" spans="1:8" ht="19.95" customHeight="1">
      <c r="A29" s="36" t="s">
        <v>33</v>
      </c>
      <c r="B29" s="36"/>
      <c r="C29" s="36"/>
      <c r="D29" s="36"/>
      <c r="E29" s="36"/>
      <c r="F29" s="36"/>
      <c r="G29" s="36"/>
      <c r="H29" s="36"/>
    </row>
  </sheetData>
  <mergeCells count="29">
    <mergeCell ref="A26:H26"/>
    <mergeCell ref="A27:H27"/>
    <mergeCell ref="A28:H28"/>
    <mergeCell ref="A29:H29"/>
    <mergeCell ref="A21:H21"/>
    <mergeCell ref="A22:H22"/>
    <mergeCell ref="A23:H23"/>
    <mergeCell ref="A24:H24"/>
    <mergeCell ref="A25:H25"/>
    <mergeCell ref="A18:B18"/>
    <mergeCell ref="C18:D18"/>
    <mergeCell ref="E18:F18"/>
    <mergeCell ref="G18:H18"/>
    <mergeCell ref="A20:H20"/>
    <mergeCell ref="A15:B15"/>
    <mergeCell ref="C15:D15"/>
    <mergeCell ref="E15:F15"/>
    <mergeCell ref="G15:H15"/>
    <mergeCell ref="A17:B17"/>
    <mergeCell ref="C17:D17"/>
    <mergeCell ref="E17:F17"/>
    <mergeCell ref="G17:H17"/>
    <mergeCell ref="A1:H1"/>
    <mergeCell ref="A2:H2"/>
    <mergeCell ref="A13:H13"/>
    <mergeCell ref="A14:B14"/>
    <mergeCell ref="C14:D14"/>
    <mergeCell ref="E14:F14"/>
    <mergeCell ref="G14:H1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G13"/>
  <sheetViews>
    <sheetView showGridLines="0" workbookViewId="0">
      <pane ySplit="4" topLeftCell="A5" activePane="bottomLeft" state="frozen"/>
      <selection pane="bottomLeft" sqref="A1:G1"/>
    </sheetView>
  </sheetViews>
  <sheetFormatPr defaultRowHeight="14.4"/>
  <cols>
    <col min="1" max="1" width="14" customWidth="1"/>
    <col min="2" max="2" width="60" customWidth="1"/>
    <col min="3" max="7" width="14" customWidth="1"/>
  </cols>
  <sheetData>
    <row r="1" spans="1:7" ht="36" customHeight="1">
      <c r="A1" s="31" t="s">
        <v>34</v>
      </c>
      <c r="B1" s="31"/>
      <c r="C1" s="31"/>
      <c r="D1" s="31"/>
      <c r="E1" s="31"/>
      <c r="F1" s="31"/>
      <c r="G1" s="31"/>
    </row>
    <row r="2" spans="1:7" ht="22.05" customHeight="1">
      <c r="A2" s="32" t="s">
        <v>35</v>
      </c>
      <c r="B2" s="32"/>
      <c r="C2" s="32"/>
      <c r="D2" s="32"/>
      <c r="E2" s="32"/>
      <c r="F2" s="32"/>
      <c r="G2" s="32"/>
    </row>
    <row r="4" spans="1:7" ht="28.05" customHeight="1">
      <c r="A4" s="5" t="s">
        <v>14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</row>
    <row r="5" spans="1:7" ht="30" customHeight="1">
      <c r="A5" s="6" t="s">
        <v>42</v>
      </c>
      <c r="B5" s="7" t="s">
        <v>43</v>
      </c>
      <c r="C5" s="7" t="s">
        <v>5</v>
      </c>
      <c r="D5" s="8">
        <v>46142.770833333328</v>
      </c>
      <c r="E5" s="8">
        <v>46148.770833333328</v>
      </c>
      <c r="F5" s="9" t="s">
        <v>44</v>
      </c>
      <c r="G5" s="10">
        <v>1</v>
      </c>
    </row>
    <row r="6" spans="1:7" ht="30" customHeight="1">
      <c r="A6" s="11" t="s">
        <v>45</v>
      </c>
      <c r="B6" s="12" t="s">
        <v>46</v>
      </c>
      <c r="C6" s="12" t="s">
        <v>5</v>
      </c>
      <c r="D6" s="13">
        <v>46149.770833333328</v>
      </c>
      <c r="E6" s="13">
        <v>46159.770833333328</v>
      </c>
      <c r="F6" s="9" t="s">
        <v>44</v>
      </c>
      <c r="G6" s="14">
        <v>1</v>
      </c>
    </row>
    <row r="7" spans="1:7" ht="30" customHeight="1">
      <c r="A7" s="6" t="s">
        <v>47</v>
      </c>
      <c r="B7" s="7" t="s">
        <v>48</v>
      </c>
      <c r="C7" s="7" t="s">
        <v>5</v>
      </c>
      <c r="D7" s="8">
        <v>46160.770833333328</v>
      </c>
      <c r="E7" s="8">
        <v>46164.770833333328</v>
      </c>
      <c r="F7" s="15" t="s">
        <v>19</v>
      </c>
      <c r="G7" s="10">
        <v>0.6</v>
      </c>
    </row>
    <row r="8" spans="1:7" ht="30" customHeight="1">
      <c r="A8" s="11" t="s">
        <v>49</v>
      </c>
      <c r="B8" s="12" t="s">
        <v>50</v>
      </c>
      <c r="C8" s="12" t="s">
        <v>5</v>
      </c>
      <c r="D8" s="13">
        <v>46165.770833333328</v>
      </c>
      <c r="E8" s="13">
        <v>46186.770833333328</v>
      </c>
      <c r="F8" s="16" t="s">
        <v>51</v>
      </c>
      <c r="G8" s="14">
        <v>0</v>
      </c>
    </row>
    <row r="9" spans="1:7" ht="30" customHeight="1">
      <c r="A9" s="6" t="s">
        <v>52</v>
      </c>
      <c r="B9" s="7" t="s">
        <v>53</v>
      </c>
      <c r="C9" s="7" t="s">
        <v>5</v>
      </c>
      <c r="D9" s="8">
        <v>46187.770833333328</v>
      </c>
      <c r="E9" s="8">
        <v>46200.770833333328</v>
      </c>
      <c r="F9" s="16" t="s">
        <v>51</v>
      </c>
      <c r="G9" s="10">
        <v>0</v>
      </c>
    </row>
    <row r="10" spans="1:7" ht="30" customHeight="1">
      <c r="A10" s="11" t="s">
        <v>54</v>
      </c>
      <c r="B10" s="12" t="s">
        <v>55</v>
      </c>
      <c r="C10" s="12" t="s">
        <v>5</v>
      </c>
      <c r="D10" s="13">
        <v>46201.770833333328</v>
      </c>
      <c r="E10" s="13">
        <v>46214.770833333328</v>
      </c>
      <c r="F10" s="16" t="s">
        <v>51</v>
      </c>
      <c r="G10" s="14">
        <v>0</v>
      </c>
    </row>
    <row r="11" spans="1:7" ht="30" customHeight="1">
      <c r="A11" s="6" t="s">
        <v>56</v>
      </c>
      <c r="B11" s="7" t="s">
        <v>57</v>
      </c>
      <c r="C11" s="7" t="s">
        <v>5</v>
      </c>
      <c r="D11" s="8">
        <v>46215.770833333328</v>
      </c>
      <c r="E11" s="8">
        <v>46223.770833333328</v>
      </c>
      <c r="F11" s="16" t="s">
        <v>51</v>
      </c>
      <c r="G11" s="10">
        <v>0</v>
      </c>
    </row>
    <row r="12" spans="1:7" ht="30" customHeight="1">
      <c r="A12" s="11" t="s">
        <v>58</v>
      </c>
      <c r="B12" s="12" t="s">
        <v>59</v>
      </c>
      <c r="C12" s="12" t="s">
        <v>5</v>
      </c>
      <c r="D12" s="13">
        <v>46224.770833333328</v>
      </c>
      <c r="E12" s="13">
        <v>46238.770833333328</v>
      </c>
      <c r="F12" s="16" t="s">
        <v>51</v>
      </c>
      <c r="G12" s="14">
        <v>0</v>
      </c>
    </row>
    <row r="13" spans="1:7" ht="30" customHeight="1">
      <c r="A13" s="6" t="s">
        <v>60</v>
      </c>
      <c r="B13" s="7" t="s">
        <v>61</v>
      </c>
      <c r="C13" s="7" t="s">
        <v>5</v>
      </c>
      <c r="D13" s="7"/>
      <c r="E13" s="7"/>
      <c r="F13" s="16" t="s">
        <v>51</v>
      </c>
      <c r="G13" s="10">
        <v>0</v>
      </c>
    </row>
  </sheetData>
  <autoFilter ref="A4:G13" xr:uid="{00000000-0009-0000-0000-000001000000}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47857"/>
  </sheetPr>
  <dimension ref="A1:H38"/>
  <sheetViews>
    <sheetView showGridLines="0" workbookViewId="0">
      <pane ySplit="4" topLeftCell="A8" activePane="bottomLeft" state="frozen"/>
      <selection pane="bottomLeft" sqref="A1:H1"/>
    </sheetView>
  </sheetViews>
  <sheetFormatPr defaultRowHeight="14.4"/>
  <cols>
    <col min="1" max="1" width="10" customWidth="1"/>
    <col min="2" max="2" width="18" customWidth="1"/>
    <col min="3" max="4" width="50" customWidth="1"/>
    <col min="5" max="5" width="12" customWidth="1"/>
    <col min="6" max="6" width="8" customWidth="1"/>
    <col min="7" max="7" width="10" customWidth="1"/>
    <col min="8" max="8" width="14" customWidth="1"/>
  </cols>
  <sheetData>
    <row r="1" spans="1:8" ht="36" customHeight="1">
      <c r="A1" s="31" t="s">
        <v>62</v>
      </c>
      <c r="B1" s="31"/>
      <c r="C1" s="31"/>
      <c r="D1" s="31"/>
      <c r="E1" s="31"/>
      <c r="F1" s="31"/>
      <c r="G1" s="31"/>
      <c r="H1" s="31"/>
    </row>
    <row r="2" spans="1:8" ht="22.05" customHeight="1">
      <c r="A2" s="32" t="s">
        <v>63</v>
      </c>
      <c r="B2" s="32"/>
      <c r="C2" s="32"/>
      <c r="D2" s="32"/>
      <c r="E2" s="32"/>
      <c r="F2" s="32"/>
      <c r="G2" s="32"/>
      <c r="H2" s="32"/>
    </row>
    <row r="4" spans="1:8" ht="28.05" customHeight="1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40</v>
      </c>
    </row>
    <row r="5" spans="1:8" ht="37.950000000000003" customHeight="1">
      <c r="A5" s="17" t="s">
        <v>71</v>
      </c>
      <c r="B5" s="18" t="s">
        <v>72</v>
      </c>
      <c r="C5" s="18" t="s">
        <v>73</v>
      </c>
      <c r="D5" s="18" t="s">
        <v>74</v>
      </c>
      <c r="E5" s="19" t="s">
        <v>75</v>
      </c>
      <c r="F5" s="20">
        <v>21</v>
      </c>
      <c r="G5" s="21" t="s">
        <v>76</v>
      </c>
      <c r="H5" s="9" t="s">
        <v>44</v>
      </c>
    </row>
    <row r="6" spans="1:8" ht="37.950000000000003" customHeight="1">
      <c r="A6" s="22" t="s">
        <v>77</v>
      </c>
      <c r="B6" s="23" t="s">
        <v>78</v>
      </c>
      <c r="C6" s="23" t="s">
        <v>79</v>
      </c>
      <c r="D6" s="23" t="s">
        <v>80</v>
      </c>
      <c r="E6" s="19" t="s">
        <v>75</v>
      </c>
      <c r="F6" s="24">
        <v>8</v>
      </c>
      <c r="G6" s="25" t="s">
        <v>76</v>
      </c>
      <c r="H6" s="9" t="s">
        <v>44</v>
      </c>
    </row>
    <row r="7" spans="1:8" ht="37.950000000000003" customHeight="1">
      <c r="A7" s="17" t="s">
        <v>81</v>
      </c>
      <c r="B7" s="18" t="s">
        <v>72</v>
      </c>
      <c r="C7" s="18" t="s">
        <v>82</v>
      </c>
      <c r="D7" s="18" t="s">
        <v>83</v>
      </c>
      <c r="E7" s="19" t="s">
        <v>75</v>
      </c>
      <c r="F7" s="20">
        <v>13</v>
      </c>
      <c r="G7" s="21" t="s">
        <v>84</v>
      </c>
      <c r="H7" s="9" t="s">
        <v>44</v>
      </c>
    </row>
    <row r="8" spans="1:8" ht="37.950000000000003" customHeight="1">
      <c r="A8" s="22" t="s">
        <v>85</v>
      </c>
      <c r="B8" s="23" t="s">
        <v>72</v>
      </c>
      <c r="C8" s="23" t="s">
        <v>86</v>
      </c>
      <c r="D8" s="23" t="s">
        <v>87</v>
      </c>
      <c r="E8" s="19" t="s">
        <v>75</v>
      </c>
      <c r="F8" s="24">
        <v>13</v>
      </c>
      <c r="G8" s="25" t="s">
        <v>88</v>
      </c>
      <c r="H8" s="9" t="s">
        <v>44</v>
      </c>
    </row>
    <row r="9" spans="1:8" ht="37.950000000000003" customHeight="1">
      <c r="A9" s="17" t="s">
        <v>89</v>
      </c>
      <c r="B9" s="18" t="s">
        <v>72</v>
      </c>
      <c r="C9" s="18" t="s">
        <v>90</v>
      </c>
      <c r="D9" s="18" t="s">
        <v>91</v>
      </c>
      <c r="E9" s="19" t="s">
        <v>75</v>
      </c>
      <c r="F9" s="20">
        <v>13</v>
      </c>
      <c r="G9" s="21" t="s">
        <v>92</v>
      </c>
      <c r="H9" s="9" t="s">
        <v>44</v>
      </c>
    </row>
    <row r="10" spans="1:8" ht="37.950000000000003" customHeight="1">
      <c r="A10" s="22" t="s">
        <v>93</v>
      </c>
      <c r="B10" s="23" t="s">
        <v>72</v>
      </c>
      <c r="C10" s="23" t="s">
        <v>94</v>
      </c>
      <c r="D10" s="23" t="s">
        <v>95</v>
      </c>
      <c r="E10" s="19" t="s">
        <v>75</v>
      </c>
      <c r="F10" s="24">
        <v>13</v>
      </c>
      <c r="G10" s="25" t="s">
        <v>96</v>
      </c>
      <c r="H10" s="9" t="s">
        <v>44</v>
      </c>
    </row>
    <row r="11" spans="1:8" ht="37.950000000000003" customHeight="1">
      <c r="A11" s="17" t="s">
        <v>97</v>
      </c>
      <c r="B11" s="18" t="s">
        <v>72</v>
      </c>
      <c r="C11" s="18" t="s">
        <v>98</v>
      </c>
      <c r="D11" s="18" t="s">
        <v>99</v>
      </c>
      <c r="E11" s="19" t="s">
        <v>75</v>
      </c>
      <c r="F11" s="20">
        <v>13</v>
      </c>
      <c r="G11" s="21" t="s">
        <v>100</v>
      </c>
      <c r="H11" s="15" t="s">
        <v>19</v>
      </c>
    </row>
    <row r="12" spans="1:8" ht="37.950000000000003" customHeight="1">
      <c r="A12" s="22" t="s">
        <v>101</v>
      </c>
      <c r="B12" s="23" t="s">
        <v>102</v>
      </c>
      <c r="C12" s="23" t="s">
        <v>103</v>
      </c>
      <c r="D12" s="23" t="s">
        <v>104</v>
      </c>
      <c r="E12" s="19" t="s">
        <v>75</v>
      </c>
      <c r="F12" s="24">
        <v>13</v>
      </c>
      <c r="G12" s="25" t="s">
        <v>105</v>
      </c>
      <c r="H12" s="15" t="s">
        <v>19</v>
      </c>
    </row>
    <row r="13" spans="1:8" ht="37.950000000000003" customHeight="1">
      <c r="A13" s="17" t="s">
        <v>106</v>
      </c>
      <c r="B13" s="18" t="s">
        <v>107</v>
      </c>
      <c r="C13" s="18" t="s">
        <v>108</v>
      </c>
      <c r="D13" s="18" t="s">
        <v>109</v>
      </c>
      <c r="E13" s="19" t="s">
        <v>75</v>
      </c>
      <c r="F13" s="20">
        <v>8</v>
      </c>
      <c r="G13" s="21" t="s">
        <v>84</v>
      </c>
      <c r="H13" s="9" t="s">
        <v>44</v>
      </c>
    </row>
    <row r="14" spans="1:8" ht="37.950000000000003" customHeight="1">
      <c r="A14" s="22" t="s">
        <v>110</v>
      </c>
      <c r="B14" s="23" t="s">
        <v>107</v>
      </c>
      <c r="C14" s="23" t="s">
        <v>111</v>
      </c>
      <c r="D14" s="23" t="s">
        <v>112</v>
      </c>
      <c r="E14" s="15" t="s">
        <v>113</v>
      </c>
      <c r="F14" s="24">
        <v>8</v>
      </c>
      <c r="G14" s="25" t="s">
        <v>84</v>
      </c>
      <c r="H14" s="9" t="s">
        <v>44</v>
      </c>
    </row>
    <row r="15" spans="1:8" ht="37.950000000000003" customHeight="1">
      <c r="A15" s="17" t="s">
        <v>114</v>
      </c>
      <c r="B15" s="18" t="s">
        <v>115</v>
      </c>
      <c r="C15" s="18" t="s">
        <v>116</v>
      </c>
      <c r="D15" s="18" t="s">
        <v>117</v>
      </c>
      <c r="E15" s="19" t="s">
        <v>75</v>
      </c>
      <c r="F15" s="20">
        <v>13</v>
      </c>
      <c r="G15" s="21" t="s">
        <v>100</v>
      </c>
      <c r="H15" s="15" t="s">
        <v>19</v>
      </c>
    </row>
    <row r="16" spans="1:8" ht="37.950000000000003" customHeight="1">
      <c r="A16" s="22" t="s">
        <v>118</v>
      </c>
      <c r="B16" s="23" t="s">
        <v>115</v>
      </c>
      <c r="C16" s="23" t="s">
        <v>119</v>
      </c>
      <c r="D16" s="23" t="s">
        <v>120</v>
      </c>
      <c r="E16" s="19" t="s">
        <v>75</v>
      </c>
      <c r="F16" s="24">
        <v>13</v>
      </c>
      <c r="G16" s="25" t="s">
        <v>100</v>
      </c>
      <c r="H16" s="15" t="s">
        <v>19</v>
      </c>
    </row>
    <row r="17" spans="1:8" ht="37.950000000000003" customHeight="1">
      <c r="A17" s="17" t="s">
        <v>121</v>
      </c>
      <c r="B17" s="18" t="s">
        <v>72</v>
      </c>
      <c r="C17" s="18" t="s">
        <v>122</v>
      </c>
      <c r="D17" s="18" t="s">
        <v>123</v>
      </c>
      <c r="E17" s="19" t="s">
        <v>75</v>
      </c>
      <c r="F17" s="20">
        <v>8</v>
      </c>
      <c r="G17" s="21" t="s">
        <v>124</v>
      </c>
      <c r="H17" s="16" t="s">
        <v>51</v>
      </c>
    </row>
    <row r="18" spans="1:8" ht="37.950000000000003" customHeight="1">
      <c r="A18" s="22" t="s">
        <v>125</v>
      </c>
      <c r="B18" s="23" t="s">
        <v>72</v>
      </c>
      <c r="C18" s="23" t="s">
        <v>126</v>
      </c>
      <c r="D18" s="23" t="s">
        <v>127</v>
      </c>
      <c r="E18" s="19" t="s">
        <v>75</v>
      </c>
      <c r="F18" s="24">
        <v>8</v>
      </c>
      <c r="G18" s="25" t="s">
        <v>124</v>
      </c>
      <c r="H18" s="16" t="s">
        <v>51</v>
      </c>
    </row>
    <row r="19" spans="1:8" ht="37.950000000000003" customHeight="1">
      <c r="A19" s="17" t="s">
        <v>128</v>
      </c>
      <c r="B19" s="18" t="s">
        <v>72</v>
      </c>
      <c r="C19" s="18" t="s">
        <v>129</v>
      </c>
      <c r="D19" s="18" t="s">
        <v>130</v>
      </c>
      <c r="E19" s="19" t="s">
        <v>75</v>
      </c>
      <c r="F19" s="20">
        <v>8</v>
      </c>
      <c r="G19" s="21" t="s">
        <v>124</v>
      </c>
      <c r="H19" s="16" t="s">
        <v>51</v>
      </c>
    </row>
    <row r="20" spans="1:8" ht="37.950000000000003" customHeight="1">
      <c r="A20" s="22" t="s">
        <v>131</v>
      </c>
      <c r="B20" s="23" t="s">
        <v>72</v>
      </c>
      <c r="C20" s="23" t="s">
        <v>132</v>
      </c>
      <c r="D20" s="23" t="s">
        <v>133</v>
      </c>
      <c r="E20" s="15" t="s">
        <v>113</v>
      </c>
      <c r="F20" s="24">
        <v>8</v>
      </c>
      <c r="G20" s="25" t="s">
        <v>134</v>
      </c>
      <c r="H20" s="16" t="s">
        <v>51</v>
      </c>
    </row>
    <row r="21" spans="1:8" ht="37.950000000000003" customHeight="1">
      <c r="A21" s="17" t="s">
        <v>135</v>
      </c>
      <c r="B21" s="18" t="s">
        <v>72</v>
      </c>
      <c r="C21" s="18" t="s">
        <v>136</v>
      </c>
      <c r="D21" s="18" t="s">
        <v>137</v>
      </c>
      <c r="E21" s="19" t="s">
        <v>75</v>
      </c>
      <c r="F21" s="20">
        <v>13</v>
      </c>
      <c r="G21" s="21" t="s">
        <v>134</v>
      </c>
      <c r="H21" s="16" t="s">
        <v>51</v>
      </c>
    </row>
    <row r="22" spans="1:8" ht="37.950000000000003" customHeight="1">
      <c r="A22" s="22" t="s">
        <v>138</v>
      </c>
      <c r="B22" s="23" t="s">
        <v>72</v>
      </c>
      <c r="C22" s="23" t="s">
        <v>139</v>
      </c>
      <c r="D22" s="23" t="s">
        <v>140</v>
      </c>
      <c r="E22" s="15" t="s">
        <v>113</v>
      </c>
      <c r="F22" s="24">
        <v>13</v>
      </c>
      <c r="G22" s="25" t="s">
        <v>141</v>
      </c>
      <c r="H22" s="16" t="s">
        <v>51</v>
      </c>
    </row>
    <row r="23" spans="1:8" ht="37.950000000000003" customHeight="1">
      <c r="A23" s="17" t="s">
        <v>142</v>
      </c>
      <c r="B23" s="18" t="s">
        <v>72</v>
      </c>
      <c r="C23" s="18" t="s">
        <v>143</v>
      </c>
      <c r="D23" s="18" t="s">
        <v>144</v>
      </c>
      <c r="E23" s="15" t="s">
        <v>113</v>
      </c>
      <c r="F23" s="20">
        <v>13</v>
      </c>
      <c r="G23" s="21" t="s">
        <v>141</v>
      </c>
      <c r="H23" s="16" t="s">
        <v>51</v>
      </c>
    </row>
    <row r="24" spans="1:8" ht="37.950000000000003" customHeight="1">
      <c r="A24" s="22" t="s">
        <v>145</v>
      </c>
      <c r="B24" s="23" t="s">
        <v>72</v>
      </c>
      <c r="C24" s="23" t="s">
        <v>146</v>
      </c>
      <c r="D24" s="23" t="s">
        <v>147</v>
      </c>
      <c r="E24" s="15" t="s">
        <v>113</v>
      </c>
      <c r="F24" s="24">
        <v>13</v>
      </c>
      <c r="G24" s="25" t="s">
        <v>148</v>
      </c>
      <c r="H24" s="16" t="s">
        <v>51</v>
      </c>
    </row>
    <row r="25" spans="1:8" ht="37.950000000000003" customHeight="1">
      <c r="A25" s="17" t="s">
        <v>149</v>
      </c>
      <c r="B25" s="18" t="s">
        <v>150</v>
      </c>
      <c r="C25" s="18" t="s">
        <v>151</v>
      </c>
      <c r="D25" s="18" t="s">
        <v>152</v>
      </c>
      <c r="E25" s="19" t="s">
        <v>75</v>
      </c>
      <c r="F25" s="20">
        <v>21</v>
      </c>
      <c r="G25" s="21" t="s">
        <v>153</v>
      </c>
      <c r="H25" s="16" t="s">
        <v>51</v>
      </c>
    </row>
    <row r="26" spans="1:8" ht="37.950000000000003" customHeight="1">
      <c r="A26" s="22" t="s">
        <v>154</v>
      </c>
      <c r="B26" s="23" t="s">
        <v>150</v>
      </c>
      <c r="C26" s="23" t="s">
        <v>155</v>
      </c>
      <c r="D26" s="23" t="s">
        <v>156</v>
      </c>
      <c r="E26" s="15" t="s">
        <v>113</v>
      </c>
      <c r="F26" s="24">
        <v>13</v>
      </c>
      <c r="G26" s="25" t="s">
        <v>153</v>
      </c>
      <c r="H26" s="16" t="s">
        <v>51</v>
      </c>
    </row>
    <row r="27" spans="1:8" ht="37.950000000000003" customHeight="1">
      <c r="A27" s="17" t="s">
        <v>157</v>
      </c>
      <c r="B27" s="18" t="s">
        <v>158</v>
      </c>
      <c r="C27" s="18" t="s">
        <v>159</v>
      </c>
      <c r="D27" s="18" t="s">
        <v>160</v>
      </c>
      <c r="E27" s="19" t="s">
        <v>75</v>
      </c>
      <c r="F27" s="20">
        <v>21</v>
      </c>
      <c r="G27" s="21" t="s">
        <v>161</v>
      </c>
      <c r="H27" s="16" t="s">
        <v>51</v>
      </c>
    </row>
    <row r="28" spans="1:8" ht="37.950000000000003" customHeight="1">
      <c r="A28" s="22" t="s">
        <v>162</v>
      </c>
      <c r="B28" s="23" t="s">
        <v>158</v>
      </c>
      <c r="C28" s="23" t="s">
        <v>163</v>
      </c>
      <c r="D28" s="23" t="s">
        <v>164</v>
      </c>
      <c r="E28" s="15" t="s">
        <v>113</v>
      </c>
      <c r="F28" s="24">
        <v>13</v>
      </c>
      <c r="G28" s="25" t="s">
        <v>161</v>
      </c>
      <c r="H28" s="16" t="s">
        <v>51</v>
      </c>
    </row>
    <row r="29" spans="1:8" ht="37.950000000000003" customHeight="1">
      <c r="A29" s="17" t="s">
        <v>165</v>
      </c>
      <c r="B29" s="18" t="s">
        <v>158</v>
      </c>
      <c r="C29" s="18" t="s">
        <v>166</v>
      </c>
      <c r="D29" s="18" t="s">
        <v>167</v>
      </c>
      <c r="E29" s="15" t="s">
        <v>113</v>
      </c>
      <c r="F29" s="20">
        <v>13</v>
      </c>
      <c r="G29" s="21" t="s">
        <v>168</v>
      </c>
      <c r="H29" s="16" t="s">
        <v>51</v>
      </c>
    </row>
    <row r="30" spans="1:8" ht="37.950000000000003" customHeight="1">
      <c r="A30" s="22" t="s">
        <v>169</v>
      </c>
      <c r="B30" s="23" t="s">
        <v>170</v>
      </c>
      <c r="C30" s="23" t="s">
        <v>171</v>
      </c>
      <c r="D30" s="23" t="s">
        <v>172</v>
      </c>
      <c r="E30" s="19" t="s">
        <v>75</v>
      </c>
      <c r="F30" s="24">
        <v>13</v>
      </c>
      <c r="G30" s="25" t="s">
        <v>173</v>
      </c>
      <c r="H30" s="16" t="s">
        <v>51</v>
      </c>
    </row>
    <row r="31" spans="1:8" ht="37.950000000000003" customHeight="1">
      <c r="A31" s="17" t="s">
        <v>174</v>
      </c>
      <c r="B31" s="18" t="s">
        <v>170</v>
      </c>
      <c r="C31" s="18" t="s">
        <v>175</v>
      </c>
      <c r="D31" s="18" t="s">
        <v>176</v>
      </c>
      <c r="E31" s="15" t="s">
        <v>113</v>
      </c>
      <c r="F31" s="20">
        <v>13</v>
      </c>
      <c r="G31" s="21" t="s">
        <v>173</v>
      </c>
      <c r="H31" s="16" t="s">
        <v>51</v>
      </c>
    </row>
    <row r="32" spans="1:8" ht="37.950000000000003" customHeight="1">
      <c r="A32" s="22" t="s">
        <v>177</v>
      </c>
      <c r="B32" s="23" t="s">
        <v>170</v>
      </c>
      <c r="C32" s="23" t="s">
        <v>178</v>
      </c>
      <c r="D32" s="23" t="s">
        <v>179</v>
      </c>
      <c r="E32" s="19" t="s">
        <v>75</v>
      </c>
      <c r="F32" s="24">
        <v>13</v>
      </c>
      <c r="G32" s="25" t="s">
        <v>173</v>
      </c>
      <c r="H32" s="16" t="s">
        <v>51</v>
      </c>
    </row>
    <row r="33" spans="1:8" ht="37.950000000000003" customHeight="1">
      <c r="A33" s="17" t="s">
        <v>180</v>
      </c>
      <c r="B33" s="18" t="s">
        <v>181</v>
      </c>
      <c r="C33" s="18" t="s">
        <v>182</v>
      </c>
      <c r="D33" s="18" t="s">
        <v>183</v>
      </c>
      <c r="E33" s="15" t="s">
        <v>113</v>
      </c>
      <c r="F33" s="20">
        <v>34</v>
      </c>
      <c r="G33" s="21" t="s">
        <v>184</v>
      </c>
      <c r="H33" s="16" t="s">
        <v>51</v>
      </c>
    </row>
    <row r="34" spans="1:8" ht="37.950000000000003" customHeight="1">
      <c r="A34" s="22" t="s">
        <v>185</v>
      </c>
      <c r="B34" s="23" t="s">
        <v>186</v>
      </c>
      <c r="C34" s="23" t="s">
        <v>187</v>
      </c>
      <c r="D34" s="23" t="s">
        <v>188</v>
      </c>
      <c r="E34" s="15" t="s">
        <v>113</v>
      </c>
      <c r="F34" s="24">
        <v>21</v>
      </c>
      <c r="G34" s="25" t="s">
        <v>184</v>
      </c>
      <c r="H34" s="16" t="s">
        <v>51</v>
      </c>
    </row>
    <row r="35" spans="1:8" ht="37.950000000000003" customHeight="1">
      <c r="A35" s="17" t="s">
        <v>189</v>
      </c>
      <c r="B35" s="18" t="s">
        <v>190</v>
      </c>
      <c r="C35" s="18" t="s">
        <v>191</v>
      </c>
      <c r="D35" s="18" t="s">
        <v>192</v>
      </c>
      <c r="E35" s="15" t="s">
        <v>113</v>
      </c>
      <c r="F35" s="20">
        <v>13</v>
      </c>
      <c r="G35" s="21" t="s">
        <v>193</v>
      </c>
      <c r="H35" s="16" t="s">
        <v>51</v>
      </c>
    </row>
    <row r="36" spans="1:8" ht="37.950000000000003" customHeight="1">
      <c r="A36" s="22" t="s">
        <v>194</v>
      </c>
      <c r="B36" s="23" t="s">
        <v>107</v>
      </c>
      <c r="C36" s="23" t="s">
        <v>195</v>
      </c>
      <c r="D36" s="23" t="s">
        <v>196</v>
      </c>
      <c r="E36" s="15" t="s">
        <v>113</v>
      </c>
      <c r="F36" s="24">
        <v>8</v>
      </c>
      <c r="G36" s="25" t="s">
        <v>193</v>
      </c>
      <c r="H36" s="16" t="s">
        <v>51</v>
      </c>
    </row>
    <row r="37" spans="1:8" ht="37.950000000000003" customHeight="1">
      <c r="A37" s="17" t="s">
        <v>197</v>
      </c>
      <c r="B37" s="18" t="s">
        <v>198</v>
      </c>
      <c r="C37" s="18" t="s">
        <v>199</v>
      </c>
      <c r="D37" s="18" t="s">
        <v>200</v>
      </c>
      <c r="E37" s="19" t="s">
        <v>75</v>
      </c>
      <c r="F37" s="20">
        <v>34</v>
      </c>
      <c r="G37" s="21" t="s">
        <v>201</v>
      </c>
      <c r="H37" s="16" t="s">
        <v>51</v>
      </c>
    </row>
    <row r="38" spans="1:8" ht="24" customHeight="1">
      <c r="E38" s="26" t="s">
        <v>202</v>
      </c>
      <c r="F38" s="27">
        <f>SUM(F5:F37)</f>
        <v>463</v>
      </c>
    </row>
  </sheetData>
  <autoFilter ref="A4:H37" xr:uid="{00000000-0009-0000-0000-000002000000}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5309"/>
  </sheetPr>
  <dimension ref="A1:F23"/>
  <sheetViews>
    <sheetView showGridLines="0" workbookViewId="0">
      <pane ySplit="4" topLeftCell="A5" activePane="bottomLeft" state="frozen"/>
      <selection pane="bottomLeft" activeCell="B6" sqref="B6:B10"/>
    </sheetView>
  </sheetViews>
  <sheetFormatPr defaultRowHeight="14.4"/>
  <cols>
    <col min="1" max="1" width="10" customWidth="1"/>
    <col min="2" max="2" width="22" customWidth="1"/>
    <col min="3" max="3" width="30" customWidth="1"/>
    <col min="4" max="4" width="80" customWidth="1"/>
    <col min="5" max="5" width="10" customWidth="1"/>
    <col min="6" max="6" width="14" customWidth="1"/>
  </cols>
  <sheetData>
    <row r="1" spans="1:6" ht="36" customHeight="1">
      <c r="A1" s="31" t="s">
        <v>203</v>
      </c>
      <c r="B1" s="31"/>
      <c r="C1" s="31"/>
      <c r="D1" s="31"/>
      <c r="E1" s="31"/>
      <c r="F1" s="31"/>
    </row>
    <row r="2" spans="1:6" ht="22.05" customHeight="1">
      <c r="A2" s="32" t="s">
        <v>204</v>
      </c>
      <c r="B2" s="32"/>
      <c r="C2" s="32"/>
      <c r="D2" s="32"/>
      <c r="E2" s="32"/>
      <c r="F2" s="32"/>
    </row>
    <row r="4" spans="1:6" ht="28.05" customHeight="1">
      <c r="A4" s="5" t="s">
        <v>70</v>
      </c>
      <c r="B4" s="5" t="s">
        <v>205</v>
      </c>
      <c r="C4" s="5" t="s">
        <v>206</v>
      </c>
      <c r="D4" s="5" t="s">
        <v>207</v>
      </c>
      <c r="E4" s="5" t="s">
        <v>208</v>
      </c>
      <c r="F4" s="5" t="s">
        <v>40</v>
      </c>
    </row>
    <row r="5" spans="1:6" ht="48" customHeight="1">
      <c r="A5" s="17" t="s">
        <v>76</v>
      </c>
      <c r="B5" s="18" t="s">
        <v>281</v>
      </c>
      <c r="C5" s="18" t="s">
        <v>209</v>
      </c>
      <c r="D5" s="18" t="s">
        <v>210</v>
      </c>
      <c r="E5" s="20">
        <v>21</v>
      </c>
      <c r="F5" s="9" t="s">
        <v>44</v>
      </c>
    </row>
    <row r="6" spans="1:6" ht="48" customHeight="1">
      <c r="A6" s="22" t="s">
        <v>84</v>
      </c>
      <c r="B6" s="18" t="s">
        <v>220</v>
      </c>
      <c r="C6" s="23" t="s">
        <v>211</v>
      </c>
      <c r="D6" s="23" t="s">
        <v>212</v>
      </c>
      <c r="E6" s="24">
        <v>21</v>
      </c>
      <c r="F6" s="9" t="s">
        <v>44</v>
      </c>
    </row>
    <row r="7" spans="1:6" ht="40.049999999999997" customHeight="1">
      <c r="A7" s="17" t="s">
        <v>88</v>
      </c>
      <c r="B7" s="18" t="s">
        <v>220</v>
      </c>
      <c r="C7" s="18" t="s">
        <v>213</v>
      </c>
      <c r="D7" s="18" t="s">
        <v>214</v>
      </c>
      <c r="E7" s="20">
        <v>13</v>
      </c>
      <c r="F7" s="9" t="s">
        <v>44</v>
      </c>
    </row>
    <row r="8" spans="1:6" ht="40.049999999999997" customHeight="1">
      <c r="A8" s="22" t="s">
        <v>92</v>
      </c>
      <c r="B8" s="18" t="s">
        <v>220</v>
      </c>
      <c r="C8" s="23" t="s">
        <v>215</v>
      </c>
      <c r="D8" s="23" t="s">
        <v>216</v>
      </c>
      <c r="E8" s="24">
        <v>13</v>
      </c>
      <c r="F8" s="9" t="s">
        <v>44</v>
      </c>
    </row>
    <row r="9" spans="1:6" ht="40.049999999999997" customHeight="1">
      <c r="A9" s="17" t="s">
        <v>96</v>
      </c>
      <c r="B9" s="18" t="s">
        <v>220</v>
      </c>
      <c r="C9" s="18" t="s">
        <v>217</v>
      </c>
      <c r="D9" s="18" t="s">
        <v>218</v>
      </c>
      <c r="E9" s="20">
        <v>13</v>
      </c>
      <c r="F9" s="9" t="s">
        <v>44</v>
      </c>
    </row>
    <row r="10" spans="1:6" ht="40.049999999999997" customHeight="1">
      <c r="A10" s="22" t="s">
        <v>100</v>
      </c>
      <c r="B10" s="18" t="s">
        <v>220</v>
      </c>
      <c r="C10" s="23" t="s">
        <v>115</v>
      </c>
      <c r="D10" s="23" t="s">
        <v>219</v>
      </c>
      <c r="E10" s="24">
        <v>21</v>
      </c>
      <c r="F10" s="15" t="s">
        <v>19</v>
      </c>
    </row>
    <row r="11" spans="1:6" ht="40.049999999999997" customHeight="1">
      <c r="A11" s="17" t="s">
        <v>124</v>
      </c>
      <c r="B11" s="18" t="s">
        <v>220</v>
      </c>
      <c r="C11" s="18" t="s">
        <v>221</v>
      </c>
      <c r="D11" s="18" t="s">
        <v>222</v>
      </c>
      <c r="E11" s="20">
        <v>24</v>
      </c>
      <c r="F11" s="16" t="s">
        <v>51</v>
      </c>
    </row>
    <row r="12" spans="1:6" ht="40.049999999999997" customHeight="1">
      <c r="A12" s="22" t="s">
        <v>134</v>
      </c>
      <c r="B12" s="23" t="s">
        <v>220</v>
      </c>
      <c r="C12" s="23" t="s">
        <v>223</v>
      </c>
      <c r="D12" s="23" t="s">
        <v>224</v>
      </c>
      <c r="E12" s="24">
        <v>21</v>
      </c>
      <c r="F12" s="16" t="s">
        <v>51</v>
      </c>
    </row>
    <row r="13" spans="1:6" ht="40.049999999999997" customHeight="1">
      <c r="A13" s="17" t="s">
        <v>141</v>
      </c>
      <c r="B13" s="18" t="s">
        <v>220</v>
      </c>
      <c r="C13" s="18" t="s">
        <v>225</v>
      </c>
      <c r="D13" s="18" t="s">
        <v>226</v>
      </c>
      <c r="E13" s="20">
        <v>26</v>
      </c>
      <c r="F13" s="16" t="s">
        <v>51</v>
      </c>
    </row>
    <row r="14" spans="1:6" ht="40.049999999999997" customHeight="1">
      <c r="A14" s="22" t="s">
        <v>148</v>
      </c>
      <c r="B14" s="23" t="s">
        <v>220</v>
      </c>
      <c r="C14" s="23" t="s">
        <v>227</v>
      </c>
      <c r="D14" s="23" t="s">
        <v>228</v>
      </c>
      <c r="E14" s="24">
        <v>13</v>
      </c>
      <c r="F14" s="16" t="s">
        <v>51</v>
      </c>
    </row>
    <row r="15" spans="1:6" ht="40.049999999999997" customHeight="1">
      <c r="A15" s="17" t="s">
        <v>153</v>
      </c>
      <c r="B15" s="18" t="s">
        <v>220</v>
      </c>
      <c r="C15" s="18" t="s">
        <v>229</v>
      </c>
      <c r="D15" s="18" t="s">
        <v>230</v>
      </c>
      <c r="E15" s="20">
        <v>34</v>
      </c>
      <c r="F15" s="16" t="s">
        <v>51</v>
      </c>
    </row>
    <row r="16" spans="1:6" ht="40.049999999999997" customHeight="1">
      <c r="A16" s="22" t="s">
        <v>161</v>
      </c>
      <c r="B16" s="23" t="s">
        <v>220</v>
      </c>
      <c r="C16" s="23" t="s">
        <v>231</v>
      </c>
      <c r="D16" s="23" t="s">
        <v>232</v>
      </c>
      <c r="E16" s="24">
        <v>34</v>
      </c>
      <c r="F16" s="16" t="s">
        <v>51</v>
      </c>
    </row>
    <row r="17" spans="1:6" ht="40.049999999999997" customHeight="1">
      <c r="A17" s="17" t="s">
        <v>168</v>
      </c>
      <c r="B17" s="18" t="s">
        <v>220</v>
      </c>
      <c r="C17" s="18" t="s">
        <v>233</v>
      </c>
      <c r="D17" s="18" t="s">
        <v>234</v>
      </c>
      <c r="E17" s="20">
        <v>13</v>
      </c>
      <c r="F17" s="16" t="s">
        <v>51</v>
      </c>
    </row>
    <row r="18" spans="1:6" ht="40.049999999999997" customHeight="1">
      <c r="A18" s="22" t="s">
        <v>173</v>
      </c>
      <c r="B18" s="23" t="s">
        <v>220</v>
      </c>
      <c r="C18" s="23" t="s">
        <v>170</v>
      </c>
      <c r="D18" s="23" t="s">
        <v>235</v>
      </c>
      <c r="E18" s="24">
        <v>47</v>
      </c>
      <c r="F18" s="16" t="s">
        <v>51</v>
      </c>
    </row>
    <row r="19" spans="1:6" ht="64.05" customHeight="1">
      <c r="A19" s="17" t="s">
        <v>184</v>
      </c>
      <c r="B19" s="18" t="s">
        <v>220</v>
      </c>
      <c r="C19" s="18" t="s">
        <v>236</v>
      </c>
      <c r="D19" s="18" t="s">
        <v>237</v>
      </c>
      <c r="E19" s="20">
        <v>55</v>
      </c>
      <c r="F19" s="16" t="s">
        <v>51</v>
      </c>
    </row>
    <row r="20" spans="1:6" ht="40.049999999999997" customHeight="1">
      <c r="A20" s="22" t="s">
        <v>193</v>
      </c>
      <c r="B20" s="23" t="s">
        <v>220</v>
      </c>
      <c r="C20" s="23" t="s">
        <v>238</v>
      </c>
      <c r="D20" s="23" t="s">
        <v>239</v>
      </c>
      <c r="E20" s="24">
        <v>21</v>
      </c>
      <c r="F20" s="16" t="s">
        <v>51</v>
      </c>
    </row>
    <row r="21" spans="1:6" ht="40.049999999999997" customHeight="1">
      <c r="A21" s="17" t="s">
        <v>240</v>
      </c>
      <c r="B21" s="18" t="s">
        <v>220</v>
      </c>
      <c r="C21" s="18" t="s">
        <v>241</v>
      </c>
      <c r="D21" s="18" t="s">
        <v>242</v>
      </c>
      <c r="E21" s="20">
        <v>21</v>
      </c>
      <c r="F21" s="16" t="s">
        <v>51</v>
      </c>
    </row>
    <row r="22" spans="1:6" ht="40.049999999999997" customHeight="1">
      <c r="A22" s="22" t="s">
        <v>243</v>
      </c>
      <c r="B22" s="23" t="s">
        <v>220</v>
      </c>
      <c r="C22" s="23" t="s">
        <v>244</v>
      </c>
      <c r="D22" s="23" t="s">
        <v>245</v>
      </c>
      <c r="E22" s="24">
        <v>21</v>
      </c>
      <c r="F22" s="16" t="s">
        <v>51</v>
      </c>
    </row>
    <row r="23" spans="1:6">
      <c r="D23" s="26" t="s">
        <v>246</v>
      </c>
      <c r="E23" s="27">
        <f>SUM(E5:E22)</f>
        <v>432</v>
      </c>
    </row>
  </sheetData>
  <autoFilter ref="A4:F22" xr:uid="{00000000-0009-0000-0000-000003000000}"/>
  <mergeCells count="2">
    <mergeCell ref="A1:F1"/>
    <mergeCell ref="A2:F2"/>
  </mergeCells>
  <phoneticPr fontId="16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91C1C"/>
  </sheetPr>
  <dimension ref="A1:H11"/>
  <sheetViews>
    <sheetView showGridLines="0" workbookViewId="0">
      <pane ySplit="4" topLeftCell="A5" activePane="bottomLeft" state="frozen"/>
      <selection pane="bottomLeft" sqref="A1:H1"/>
    </sheetView>
  </sheetViews>
  <sheetFormatPr defaultRowHeight="14.4"/>
  <cols>
    <col min="1" max="1" width="8" customWidth="1"/>
    <col min="2" max="2" width="48" customWidth="1"/>
    <col min="3" max="3" width="12" customWidth="1"/>
    <col min="4" max="4" width="10" customWidth="1"/>
    <col min="5" max="5" width="11" customWidth="1"/>
    <col min="6" max="6" width="60" customWidth="1"/>
    <col min="7" max="7" width="12" customWidth="1"/>
    <col min="8" max="8" width="14" customWidth="1"/>
  </cols>
  <sheetData>
    <row r="1" spans="1:8" ht="36" customHeight="1">
      <c r="A1" s="31" t="s">
        <v>247</v>
      </c>
      <c r="B1" s="31"/>
      <c r="C1" s="31"/>
      <c r="D1" s="31"/>
      <c r="E1" s="31"/>
      <c r="F1" s="31"/>
      <c r="G1" s="31"/>
      <c r="H1" s="31"/>
    </row>
    <row r="2" spans="1:8" ht="22.05" customHeight="1">
      <c r="A2" s="32" t="s">
        <v>248</v>
      </c>
      <c r="B2" s="32"/>
      <c r="C2" s="32"/>
      <c r="D2" s="32"/>
      <c r="E2" s="32"/>
      <c r="F2" s="32"/>
      <c r="G2" s="32"/>
      <c r="H2" s="32"/>
    </row>
    <row r="4" spans="1:8" ht="28.05" customHeight="1">
      <c r="A4" s="5" t="s">
        <v>64</v>
      </c>
      <c r="B4" s="5" t="s">
        <v>249</v>
      </c>
      <c r="C4" s="5" t="s">
        <v>250</v>
      </c>
      <c r="D4" s="5" t="s">
        <v>251</v>
      </c>
      <c r="E4" s="5" t="s">
        <v>252</v>
      </c>
      <c r="F4" s="5" t="s">
        <v>253</v>
      </c>
      <c r="G4" s="5" t="s">
        <v>37</v>
      </c>
      <c r="H4" s="5" t="s">
        <v>40</v>
      </c>
    </row>
    <row r="5" spans="1:8" ht="48" customHeight="1">
      <c r="A5" s="28" t="s">
        <v>254</v>
      </c>
      <c r="B5" s="18" t="s">
        <v>255</v>
      </c>
      <c r="C5" s="19" t="s">
        <v>256</v>
      </c>
      <c r="D5" s="19" t="s">
        <v>256</v>
      </c>
      <c r="E5" s="19" t="s">
        <v>256</v>
      </c>
      <c r="F5" s="18" t="s">
        <v>257</v>
      </c>
      <c r="G5" s="21" t="s">
        <v>5</v>
      </c>
      <c r="H5" s="15" t="s">
        <v>258</v>
      </c>
    </row>
    <row r="6" spans="1:8" ht="46.05" customHeight="1">
      <c r="A6" s="29" t="s">
        <v>259</v>
      </c>
      <c r="B6" s="23" t="s">
        <v>260</v>
      </c>
      <c r="C6" s="15" t="s">
        <v>261</v>
      </c>
      <c r="D6" s="19" t="s">
        <v>256</v>
      </c>
      <c r="E6" s="19" t="s">
        <v>256</v>
      </c>
      <c r="F6" s="23" t="s">
        <v>262</v>
      </c>
      <c r="G6" s="25" t="s">
        <v>5</v>
      </c>
      <c r="H6" s="15" t="s">
        <v>258</v>
      </c>
    </row>
    <row r="7" spans="1:8" ht="46.05" customHeight="1">
      <c r="A7" s="28" t="s">
        <v>263</v>
      </c>
      <c r="B7" s="18" t="s">
        <v>264</v>
      </c>
      <c r="C7" s="19" t="s">
        <v>256</v>
      </c>
      <c r="D7" s="15" t="s">
        <v>261</v>
      </c>
      <c r="E7" s="19" t="s">
        <v>256</v>
      </c>
      <c r="F7" s="18" t="s">
        <v>265</v>
      </c>
      <c r="G7" s="21" t="s">
        <v>5</v>
      </c>
      <c r="H7" s="15" t="s">
        <v>258</v>
      </c>
    </row>
    <row r="8" spans="1:8" ht="48" customHeight="1">
      <c r="A8" s="29" t="s">
        <v>266</v>
      </c>
      <c r="B8" s="23" t="s">
        <v>267</v>
      </c>
      <c r="C8" s="15" t="s">
        <v>261</v>
      </c>
      <c r="D8" s="15" t="s">
        <v>261</v>
      </c>
      <c r="E8" s="15" t="s">
        <v>261</v>
      </c>
      <c r="F8" s="23" t="s">
        <v>268</v>
      </c>
      <c r="G8" s="25" t="s">
        <v>5</v>
      </c>
      <c r="H8" s="15" t="s">
        <v>258</v>
      </c>
    </row>
    <row r="9" spans="1:8" ht="46.05" customHeight="1">
      <c r="A9" s="28" t="s">
        <v>269</v>
      </c>
      <c r="B9" s="18" t="s">
        <v>270</v>
      </c>
      <c r="C9" s="9" t="s">
        <v>271</v>
      </c>
      <c r="D9" s="19" t="s">
        <v>256</v>
      </c>
      <c r="E9" s="15" t="s">
        <v>261</v>
      </c>
      <c r="F9" s="18" t="s">
        <v>272</v>
      </c>
      <c r="G9" s="21" t="s">
        <v>5</v>
      </c>
      <c r="H9" s="9" t="s">
        <v>273</v>
      </c>
    </row>
    <row r="10" spans="1:8" ht="48" customHeight="1">
      <c r="A10" s="29" t="s">
        <v>274</v>
      </c>
      <c r="B10" s="23" t="s">
        <v>275</v>
      </c>
      <c r="C10" s="15" t="s">
        <v>261</v>
      </c>
      <c r="D10" s="15" t="s">
        <v>261</v>
      </c>
      <c r="E10" s="15" t="s">
        <v>261</v>
      </c>
      <c r="F10" s="23" t="s">
        <v>276</v>
      </c>
      <c r="G10" s="25" t="s">
        <v>5</v>
      </c>
      <c r="H10" s="16" t="s">
        <v>51</v>
      </c>
    </row>
    <row r="11" spans="1:8" ht="46.05" customHeight="1">
      <c r="A11" s="28" t="s">
        <v>277</v>
      </c>
      <c r="B11" s="18" t="s">
        <v>278</v>
      </c>
      <c r="C11" s="15" t="s">
        <v>261</v>
      </c>
      <c r="D11" s="9" t="s">
        <v>271</v>
      </c>
      <c r="E11" s="9" t="s">
        <v>271</v>
      </c>
      <c r="F11" s="18" t="s">
        <v>279</v>
      </c>
      <c r="G11" s="21" t="s">
        <v>5</v>
      </c>
      <c r="H11" s="30" t="s">
        <v>280</v>
      </c>
    </row>
  </sheetData>
  <autoFilter ref="A4:H11" xr:uid="{00000000-0009-0000-0000-000004000000}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Roadmap</vt:lpstr>
      <vt:lpstr>Feature Backlog</vt:lpstr>
      <vt:lpstr>Sprint Tracker</vt:lpstr>
      <vt:lpstr>Risk Log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OrgPrism Project Tracker</dc:title>
  <dc:subject>PMO project tracker for OrgPrism</dc:subject>
  <dc:creator/>
  <cp:keywords/>
  <dc:description/>
  <cp:lastModifiedBy/>
  <dcterms:created xsi:type="dcterms:W3CDTF">2026-04-30T18:30:00Z</dcterms:created>
  <dcterms:modified xsi:type="dcterms:W3CDTF">2026-06-03T07:38:51Z</dcterms:modified>
  <cp:category/>
</cp:coreProperties>
</file>