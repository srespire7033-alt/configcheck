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Roadmap" state="visible" r:id="rId5"/>
    <sheet sheetId="3" name="Feature Backlog" state="visible" r:id="rId6"/>
    <sheet sheetId="4" name="Sprint Tracker" state="visible" r:id="rId7"/>
    <sheet sheetId="5" name="Risk Log" state="visible" r:id="rId8"/>
    <sheet sheetId="6" name="Issue Log" state="visible" r:id="rId9"/>
    <sheet sheetId="7" name="Decisions Log" state="visible" r:id="rId10"/>
    <sheet sheetId="8" name="Build Sequence" state="visible" r:id="rId11"/>
  </sheets>
  <calcPr calcId="171027"/>
</workbook>
</file>

<file path=xl/sharedStrings.xml><?xml version="1.0" encoding="utf-8"?>
<sst xmlns="http://schemas.openxmlformats.org/spreadsheetml/2006/main" count="781" uniqueCount="518">
  <si>
    <t>OrgPrism — Project Tracker</t>
  </si>
  <si>
    <t>Salesforce CPQ + Revenue Cloud Audit Platform · Native Lightning Web Component Build</t>
  </si>
  <si>
    <t>Project Owner</t>
  </si>
  <si>
    <t>Maulik (Salesforce CPQ Architect)</t>
  </si>
  <si>
    <t>Engineering Lead</t>
  </si>
  <si>
    <t>Maulik</t>
  </si>
  <si>
    <t>Target Org</t>
  </si>
  <si>
    <t>Techtorch Enterprise (development sandbox)</t>
  </si>
  <si>
    <t>Project Start</t>
  </si>
  <si>
    <t>Current Sprint</t>
  </si>
  <si>
    <t>Sprint 5 — Detector + Attribution Slice 5</t>
  </si>
  <si>
    <t>Status Date</t>
  </si>
  <si>
    <t>Overall Status</t>
  </si>
  <si>
    <t>On Track</t>
  </si>
  <si>
    <t>Phase</t>
  </si>
  <si>
    <t>Foundation complete · Detector engine build in progress</t>
  </si>
  <si>
    <t>KEY METRICS</t>
  </si>
  <si>
    <t>Total Deliverables</t>
  </si>
  <si>
    <t>Completed</t>
  </si>
  <si>
    <t>In Progress</t>
  </si>
  <si>
    <t>Backlog</t>
  </si>
  <si>
    <t>Completion Rate</t>
  </si>
  <si>
    <t>Apex Test Pass Rate</t>
  </si>
  <si>
    <t>Apex Tests Total</t>
  </si>
  <si>
    <t>Active Custom Objects</t>
  </si>
  <si>
    <t>24.6%</t>
  </si>
  <si>
    <t>100%</t>
  </si>
  <si>
    <t>EXECUTIVE SUMMARY</t>
  </si>
  <si>
    <t>OrgPrism is building a Lightning-native audit platform for Salesforce CPQ and Revenue Cloud orgs. The platform identifies revenue leakage, governance gaps, and pricing-discipline failures using forensic detectors that run against real transactional records.</t>
  </si>
  <si>
    <t/>
  </si>
  <si>
    <t>CURRENT STATE: Foundation complete. SFDX scaffold, 6 custom objects, Apex detector framework, and 5 of approximately 20 planned detectors deployed to the Techtorch sandbox. Core LWC primitives and design tokens established. End-to-end happy path proven with a working scan flow.</t>
  </si>
  <si>
    <t>BUILDING NOW: Remaining detectors (REN-002, REN-003, REN-004, ORD-FOR-002/003, QL-FOR-002, plus governance, pipeline, pricing, billing config detectors). Hero dashboard and Findings tab refinement. Recovery action lifecycle.</t>
  </si>
  <si>
    <t>AHEAD: Issues tab, Plan tab, executive PDF deliverable, scheduled scans, package detection, attribution map, recovery queue, complexity scoring, AI remediation plan, full SaaS parity, mobile + dark mode, FLS hardening, AppExchange security review, namespaced managed package, listing assets.</t>
  </si>
  <si>
    <t>KEY DEPENDENCY: PDE org provisioning for managed package + AppExchange listing.</t>
  </si>
  <si>
    <t>OrgPrism — Delivery Roadmap</t>
  </si>
  <si>
    <t>Phases, milestones, target dates, owner</t>
  </si>
  <si>
    <t>Description</t>
  </si>
  <si>
    <t>Owner</t>
  </si>
  <si>
    <t>Start</t>
  </si>
  <si>
    <t>Target End</t>
  </si>
  <si>
    <t>Status</t>
  </si>
  <si>
    <t>% Complete</t>
  </si>
  <si>
    <t>Phase 1</t>
  </si>
  <si>
    <t>Install &amp; Setup — one-click installer, role-based access, first-time scan experience</t>
  </si>
  <si>
    <t>Done</t>
  </si>
  <si>
    <t>Phase 2</t>
  </si>
  <si>
    <t>Configuration Health Check — Org Complexity score, Category Performance grid, Pricing Discipline grade, baseline config audit checks</t>
  </si>
  <si>
    <t>Phase 3</t>
  </si>
  <si>
    <t>Revenue Leakage Detection — find renewals priced below contract, expired discounts still applying, orders missing billing, zero-priced bundle items, orphaned subscriptions, expired contracted prices, process gaps</t>
  </si>
  <si>
    <t>Planned</t>
  </si>
  <si>
    <t>Phase 4</t>
  </si>
  <si>
    <t>Issue Triage Tools — Top Issues to Address, All Issues with bulk acknowledge / resolve, full issue detail screen, false-positive suppression</t>
  </si>
  <si>
    <t>Phase 5</t>
  </si>
  <si>
    <t>Visualization &amp; Insight — Impact × Effort prioritization, Score Trend, Since-last-scan diff, AI-Powered Analysis headline, 3-Phase Remediation Plan, Attribution Map</t>
  </si>
  <si>
    <t>Phase 6</t>
  </si>
  <si>
    <t>Reporting &amp; Automation — Executive PDF deliverable, CSV exports, scheduled scans, email notifications, auto-refresh after scan</t>
  </si>
  <si>
    <t>Phase 7</t>
  </si>
  <si>
    <t>Compliance &amp; Polish — mobile responsive, dark mode, accessibility (WCAG 2.1 AA), Salesforce field-level security hardening, security review documentation</t>
  </si>
  <si>
    <t>Phase 8</t>
  </si>
  <si>
    <t>Package &amp; Release — AppExchange-ready managed package, listing copy + screenshots + demo video, pricing tier story (awaiting PDE org)</t>
  </si>
  <si>
    <t>OrgPrism — Feature Backlog</t>
  </si>
  <si>
    <t>Every epic and user story with acceptance criteria, priority, story points, status</t>
  </si>
  <si>
    <t>ID</t>
  </si>
  <si>
    <t>Epic</t>
  </si>
  <si>
    <t>User Story</t>
  </si>
  <si>
    <t>Acceptance Criteria</t>
  </si>
  <si>
    <t>Priority</t>
  </si>
  <si>
    <t>Pts</t>
  </si>
  <si>
    <t>Sprint</t>
  </si>
  <si>
    <t>OP-001</t>
  </si>
  <si>
    <t>Forensic Engine</t>
  </si>
  <si>
    <t>Apex detector framework with IDetector contract + base class + service orchestrator</t>
  </si>
  <si>
    <t>IDetector interface, ForensicScanService runs all detectors per scan, error isolation per detector</t>
  </si>
  <si>
    <t>P0</t>
  </si>
  <si>
    <t>S1</t>
  </si>
  <si>
    <t>OP-002</t>
  </si>
  <si>
    <t>Data Model</t>
  </si>
  <si>
    <t>5 custom objects with fields + permissions: ForensicScan__c, ForensicFinding__c, AttributionTrace__c, RecoveryAction__c, ScanSchedule__c</t>
  </si>
  <si>
    <t>Objects deployed, OrgPrism permission set grants CRUD, lookup relationships established</t>
  </si>
  <si>
    <t>OP-003</t>
  </si>
  <si>
    <t>REN-001 renewal uplift reconciliation detector + Class C conflicting automation tracer</t>
  </si>
  <si>
    <t>Detects renewals priced below entitled uplift, attribution identifies conflicting Flow / Process Builder</t>
  </si>
  <si>
    <t>S2</t>
  </si>
  <si>
    <t>OP-004</t>
  </si>
  <si>
    <t>DSC-FOR-001 promo discount roll-off failure detector + Class D missing governance tracer</t>
  </si>
  <si>
    <t>Detects discounts kept past their end date, attribution identifies missing approval rule coverage</t>
  </si>
  <si>
    <t>S3</t>
  </si>
  <si>
    <t>OP-005</t>
  </si>
  <si>
    <t>QL-FOR-001 bundle required option at zero NetPrice detector + Class E poor data quality tracer</t>
  </si>
  <si>
    <t>Detects required bundle options charged at zero, attribution identifies missing Charge Type field</t>
  </si>
  <si>
    <t>S4</t>
  </si>
  <si>
    <t>OP-006</t>
  </si>
  <si>
    <t>ORD-FOR-001 order activated with no billing schedule detector + Class A system disconnect tracer</t>
  </si>
  <si>
    <t>Detects activated Orders lacking BillingSchedule, attribution identifies CPQ↔Billing integration gap</t>
  </si>
  <si>
    <t>S5</t>
  </si>
  <si>
    <t>OP-007</t>
  </si>
  <si>
    <t>REN-002 renewal below current list price detector + Class B manual override tracer</t>
  </si>
  <si>
    <t>Detects renewals below current PricebookEntry, attribution identifies reps overriding without approval</t>
  </si>
  <si>
    <t>S6</t>
  </si>
  <si>
    <t>OP-008</t>
  </si>
  <si>
    <t>Quality</t>
  </si>
  <si>
    <t>≥75% Apex test coverage with negative-path tests on detectors + attribution</t>
  </si>
  <si>
    <t>91 tests pass for first 5 detectors; coverage threshold maintained as new detectors added</t>
  </si>
  <si>
    <t>S1-S6</t>
  </si>
  <si>
    <t>OP-009</t>
  </si>
  <si>
    <t>Cross-cutting</t>
  </si>
  <si>
    <t>Forensic scan background job + chaining for long-running detector runs</t>
  </si>
  <si>
    <t>Queueable Apex chains detectors, scan record updates status (Pending → Running → Completed)</t>
  </si>
  <si>
    <t>OP-010</t>
  </si>
  <si>
    <t>Plain-English finding renderer with template + Gemini fallback</t>
  </si>
  <si>
    <t>Detector emits structured payload, renderer produces consultant-readable prose</t>
  </si>
  <si>
    <t>P1</t>
  </si>
  <si>
    <t>OP-011</t>
  </si>
  <si>
    <t>LWC Foundation</t>
  </si>
  <si>
    <t>Design tokens (orgPrismTokens.css), base LWC primitives (dashboardCard, severityBadge, moneyDisplay, statusBar)</t>
  </si>
  <si>
    <t>Tokens shared via static resource, primitives self-contained and themeable</t>
  </si>
  <si>
    <t>OP-012</t>
  </si>
  <si>
    <t>Apex DTO + service classes powering the dashboard (DashboardController.getDashboardSummary)</t>
  </si>
  <si>
    <t>Single aggregated read, cacheable wire, refresh on scan completion</t>
  </si>
  <si>
    <t>OP-013</t>
  </si>
  <si>
    <t>REN-003 pipeline detector — Quote expired, no renewal opened</t>
  </si>
  <si>
    <t>Detects expired renewal opportunities without a successor Quote</t>
  </si>
  <si>
    <t>S7</t>
  </si>
  <si>
    <t>OP-014</t>
  </si>
  <si>
    <t>REN-004 — Renewal Quote stuck in Draft past contract end</t>
  </si>
  <si>
    <t>Detects Draft renewal Quotes whose original contract end date has passed</t>
  </si>
  <si>
    <t>OP-015</t>
  </si>
  <si>
    <t>DSC-FOR-002 — Stacked discounts beyond approved cap</t>
  </si>
  <si>
    <t>Detects multiple discount sources summing above the approval threshold</t>
  </si>
  <si>
    <t>OP-016</t>
  </si>
  <si>
    <t>QL-FOR-002 — Quote line approval skipped</t>
  </si>
  <si>
    <t>Detects Quote lines that should have routed through approval but did not</t>
  </si>
  <si>
    <t>S8</t>
  </si>
  <si>
    <t>OP-017</t>
  </si>
  <si>
    <t>ORD-FOR-002 + ORD-FOR-003 — Quote→Order variance detectors (new business + amendments)</t>
  </si>
  <si>
    <t>Detects discrepancies between Quote line and resulting Order line on price / quantity / product</t>
  </si>
  <si>
    <t>OP-018</t>
  </si>
  <si>
    <t>SUB-FOR-001 + PROV-FOR-001 + PROV-FOR-002 — Subscription / Provisioning detectors</t>
  </si>
  <si>
    <t>Detects subscriptions without contract reference, active subscriptions without Asset records</t>
  </si>
  <si>
    <t>S9</t>
  </si>
  <si>
    <t>OP-019</t>
  </si>
  <si>
    <t>OPP-FOR-001 + CON-FOR-001 + AMD-FOR-001 — Governance detectors</t>
  </si>
  <si>
    <t>Detects closed-won Opps without Quote, expired contracts, amendments missing effective date</t>
  </si>
  <si>
    <t>OP-020</t>
  </si>
  <si>
    <t>CT-FOR-001 + MDQ-FOR-001 + AST-FOR-001 — Pricing-lock + Asset detectors</t>
  </si>
  <si>
    <t>Detects expired contracted prices still applied, MDQ segment inconsistencies, terminated Assets mid-contract</t>
  </si>
  <si>
    <t>S10</t>
  </si>
  <si>
    <t>OP-021</t>
  </si>
  <si>
    <t>Dashboard</t>
  </si>
  <si>
    <t>Hero region with score ring, package detection chip, severity tiles, New Scan + Forensics button, Schedule button</t>
  </si>
  <si>
    <t>Native LWC, in-SVG score label, color thresholds, status banner after scan completes</t>
  </si>
  <si>
    <t>S11</t>
  </si>
  <si>
    <t>OP-022</t>
  </si>
  <si>
    <t>Schedule modal with Frequency pills (One-time / Daily / Weekly / Monthly) + conditional fields</t>
  </si>
  <si>
    <t>Cron expression generated per frequency, ScanSchedule__c persists, scheduled job lifecycle managed</t>
  </si>
  <si>
    <t>OP-023</t>
  </si>
  <si>
    <t>Findings Tab</t>
  </si>
  <si>
    <t>Revenue Leakage view — 6-theme grid + biggest leaks top-5 + confidence chip + 3 action banners</t>
  </si>
  <si>
    <t>Verified vs Estimated split, Opportunity baseline percentage, banners route to Attribution / Recovery / PDF</t>
  </si>
  <si>
    <t>S12</t>
  </si>
  <si>
    <t>OP-024</t>
  </si>
  <si>
    <t>Governance Risk + Pipeline Risk cards (shared LWC parameterized by category)</t>
  </si>
  <si>
    <t>Detector summary grid + finding rows + filterable toolbar</t>
  </si>
  <si>
    <t>OP-025</t>
  </si>
  <si>
    <t>Pricing Discipline letter grade card with A-F grade + offenders + manual override percent</t>
  </si>
  <si>
    <t>PricingDisciplineController port from SaaS pricing-discipline-grade logic</t>
  </si>
  <si>
    <t>S13</t>
  </si>
  <si>
    <t>OP-026</t>
  </si>
  <si>
    <t>Issues Tab</t>
  </si>
  <si>
    <t>Top Issues to Address — top 5 grouped by category with related-finding expansion</t>
  </si>
  <si>
    <t>Title normalization strips embedded record numbers, modal drill-down preserves originals</t>
  </si>
  <si>
    <t>S14</t>
  </si>
  <si>
    <t>OP-027</t>
  </si>
  <si>
    <t>All Issues panel with search + severity + status pills + bulk Acknowledge / Resolve / Not Relevant</t>
  </si>
  <si>
    <t>Selection persists across filter changes, suppression record auto-created on False Positive / Not Relevant</t>
  </si>
  <si>
    <t>OP-028</t>
  </si>
  <si>
    <t>Issue Detail Modal + Issue Detail Page with affected records list</t>
  </si>
  <si>
    <t>Dynamic SOQL resolves PrimaryRecordId__c to record name across standard + custom objects</t>
  </si>
  <si>
    <t>OP-029</t>
  </si>
  <si>
    <t>Summary Tab</t>
  </si>
  <si>
    <t>Impact x Effort 3x3 grid (What to fix first) + Score Trend + Since-last-scan + Org Complexity + AI Analysis + Category Performance + AI Remediation Plan</t>
  </si>
  <si>
    <t>Seven advanced visualization cards forming the strategic summary view</t>
  </si>
  <si>
    <t>S15</t>
  </si>
  <si>
    <t>OP-030</t>
  </si>
  <si>
    <t>Standalone Pages</t>
  </si>
  <si>
    <t>Attribution Map + Recovery Queue + Scan History + Forensic Diff (What's Changed) pages</t>
  </si>
  <si>
    <t>Four standalone FlexiPages + Custom Tabs accessible from app launcher</t>
  </si>
  <si>
    <t>OP-031</t>
  </si>
  <si>
    <t>Reporting</t>
  </si>
  <si>
    <t>Executive PDF Report (5-page consultant deliverable) via Visualforce</t>
  </si>
  <si>
    <t>VF page renderAs PDF, Apex backing aggregates scan + findings + attribution + recovery actions</t>
  </si>
  <si>
    <t>S16</t>
  </si>
  <si>
    <t>OP-032</t>
  </si>
  <si>
    <t>Suppression engine + cross-LWC scan-completed event for reactive refresh</t>
  </si>
  <si>
    <t>ForensicSuppression__c persists False Positive / Not Relevant; window event triggers refreshApex across all cards</t>
  </si>
  <si>
    <t>OP-033</t>
  </si>
  <si>
    <t>Polish</t>
  </si>
  <si>
    <t>Dark mode + Apex FLS hardening + AppExchange security review prep + managed package</t>
  </si>
  <si>
    <t>WCAG AA contrast, Schema.sObjectType.isAccessible() guards, namespaced package, listing assets, security review pass</t>
  </si>
  <si>
    <t>S17-S20</t>
  </si>
  <si>
    <t>TOTAL</t>
  </si>
  <si>
    <t>OrgPrism — Sprint Tracker</t>
  </si>
  <si>
    <t>Sprint-by-sprint deliveries with velocity</t>
  </si>
  <si>
    <t>Dates</t>
  </si>
  <si>
    <t>Theme</t>
  </si>
  <si>
    <t>Delivered</t>
  </si>
  <si>
    <t>Points</t>
  </si>
  <si>
    <t>May 1 – May 5, 2026</t>
  </si>
  <si>
    <t>Foundation</t>
  </si>
  <si>
    <t>SFDX scaffold, 5 custom objects + fields, Apex detector framework (IDetector + base + service), permission set + tab + app metadata</t>
  </si>
  <si>
    <t>May 6 – May 9, 2026</t>
  </si>
  <si>
    <t>Slice 2 — Renewal Uplift + Discount Rolloff</t>
  </si>
  <si>
    <t>REN-001 detector + Class C conflicting automation tracer; DSC-FOR-001 detector + Class D missing governance tracer; renderer templates + unit tests</t>
  </si>
  <si>
    <t>May 10 – May 12, 2026</t>
  </si>
  <si>
    <t>Slice 3 — Renewal Below List</t>
  </si>
  <si>
    <t>REN-002 renewal-below-list-price detector + Class B manual override tracer + Pricebook seed + tests</t>
  </si>
  <si>
    <t>May 13 – May 15, 2026</t>
  </si>
  <si>
    <t>Slice 4 — Bundle Zero NetPrice</t>
  </si>
  <si>
    <t>QL-FOR-001 bundle required option zero NetPrice detector + Class E poor data quality tracer + bundle fixture + tests</t>
  </si>
  <si>
    <t>May 16 – May 18, 2026</t>
  </si>
  <si>
    <t>Slice 5 — Order Billing Schedule</t>
  </si>
  <si>
    <t>ORD-FOR-001 detector + Class A system disconnect tracer + activated orders fixture + tests</t>
  </si>
  <si>
    <t>May 19 – May 23, 2026</t>
  </si>
  <si>
    <t>Design tokens, base primitives, Apex services, DashboardController, first hero pieces</t>
  </si>
  <si>
    <t>TBD</t>
  </si>
  <si>
    <t>Renewal Pipeline detectors</t>
  </si>
  <si>
    <t>REN-003 + REN-004 + DSC-FOR-002 detectors with attribution + tests</t>
  </si>
  <si>
    <t>Quote Lines + Order Variance</t>
  </si>
  <si>
    <t>QL-FOR-002 + ORD-FOR-002 + ORD-FOR-003 detectors with attribution + tests</t>
  </si>
  <si>
    <t>Subscriptions + Governance</t>
  </si>
  <si>
    <t>SUB-FOR-001 + PROV-FOR-001/002 + OPP-FOR-001 + CON-FOR-001 + AMD-FOR-001</t>
  </si>
  <si>
    <t>Pricing Locks + Assets</t>
  </si>
  <si>
    <t>CT-FOR-001 + MDQ-FOR-001 + AST-FOR-001 + final detector slice</t>
  </si>
  <si>
    <t>Hero + Schedule</t>
  </si>
  <si>
    <t>Hero region with score ring + scan launcher + schedule modal with frequency-driven fields</t>
  </si>
  <si>
    <t>Findings Tab — Revenue Leakage</t>
  </si>
  <si>
    <t>Revenue Leakage view, themes grid, biggest leaks, action banners, Governance + Pipeline cards</t>
  </si>
  <si>
    <t>Findings Tab — Pricing Discipline</t>
  </si>
  <si>
    <t>Pricing Discipline grade card + offenders + median/avg discount + manual override pct</t>
  </si>
  <si>
    <t>Top Issues with grouping + All Issues with bulk actions + Issue Detail Modal + Issue Detail Page + suppression engine</t>
  </si>
  <si>
    <t>Summary Tab Cards</t>
  </si>
  <si>
    <t>Impact x Effort + Score Trend + Since-last-scan + Org Complexity + AI Analysis + Category Performance + AI Remediation Plan; Attribution Map + Recovery Queue + Scan History + Forensic Diff standalone pages</t>
  </si>
  <si>
    <t>Reporting + Cross-cutting</t>
  </si>
  <si>
    <t>Executive PDF report, CSV exports, scan-completed event refresh wiring, polish round</t>
  </si>
  <si>
    <t>S17–S18</t>
  </si>
  <si>
    <t>Polish + Hardening</t>
  </si>
  <si>
    <t>Mobile responsive, dark mode, accessibility, Apex FLS hardening</t>
  </si>
  <si>
    <t>S19–S20</t>
  </si>
  <si>
    <t>Package + AppExchange</t>
  </si>
  <si>
    <t>When PDE arrives: namespace, package up, security review, listing assets</t>
  </si>
  <si>
    <t>TOTAL POINTS (PLAN)</t>
  </si>
  <si>
    <t>OrgPrism — Risk Log</t>
  </si>
  <si>
    <t>Project risks with probability, impact, mitigation, owner, status</t>
  </si>
  <si>
    <t>Risk</t>
  </si>
  <si>
    <t>Probability</t>
  </si>
  <si>
    <t>Impact</t>
  </si>
  <si>
    <t>Severity</t>
  </si>
  <si>
    <t>Mitigation</t>
  </si>
  <si>
    <t>R-001</t>
  </si>
  <si>
    <t>CPQ license not yet active in Techtorch — needed for end-to-end validation of CPQ-specific detectors and the Pricing Discipline / Org Complexity cards</t>
  </si>
  <si>
    <t>High</t>
  </si>
  <si>
    <t>Defensive coding via Schema.getGlobalDescribe() ensures graceful handling when CPQ types are absent. Acquire CPQ license before Phase 4 starts.</t>
  </si>
  <si>
    <t>Active</t>
  </si>
  <si>
    <t>R-002</t>
  </si>
  <si>
    <t>AppExchange security review may require additional FLS / CRUD enforcement passes</t>
  </si>
  <si>
    <t>Medium</t>
  </si>
  <si>
    <t>Phase 7 dedicated to FLS + sharing model hardening before submission. SOQL injection guards already in place via String.escapeSingleQuotes().</t>
  </si>
  <si>
    <t>R-003</t>
  </si>
  <si>
    <t>PDE org arrival delay impacts AppExchange listing timeline</t>
  </si>
  <si>
    <t>Continue feature build on Techtorch in parallel. Plan package-ready code so only namespacing remains when PDE lands.</t>
  </si>
  <si>
    <t>R-004</t>
  </si>
  <si>
    <t>Detector count (~20 planned) creates testing surface area that grows quadratically with attribution tracers</t>
  </si>
  <si>
    <t>Standardize @TestVisible evaluate helpers + shared stub data factory. Maintain ≥75% coverage with each new detector slice.</t>
  </si>
  <si>
    <t>R-005</t>
  </si>
  <si>
    <t>Managed-package namespace conflicts with existing customer org metadata (custom object overlap)</t>
  </si>
  <si>
    <t>Low</t>
  </si>
  <si>
    <t>Adopt OrgPrism namespace prefix on all custom objects + Apex controllers when packaging. Naming convention already consistent.</t>
  </si>
  <si>
    <t>Mitigated</t>
  </si>
  <si>
    <t>R-006</t>
  </si>
  <si>
    <t>Salesforce server-side cacheable=true wire results may lag scan completion causing stale dashboard data</t>
  </si>
  <si>
    <t>Planned: heroBlock dispatches cross-LWC scan-completed event; subscribers refreshApex. To be wired in Phase 4/5 once cards exist.</t>
  </si>
  <si>
    <t>R-007</t>
  </si>
  <si>
    <t>Empty Opportunity history in some customer orgs skews Estimated Revenue Leakage to system defaults</t>
  </si>
  <si>
    <t>Apex falls back to $10K median deal size when no closed-won Opps exist in last 365 days. Calibration documented for consultants.</t>
  </si>
  <si>
    <t>Accepted</t>
  </si>
  <si>
    <t>OrgPrism — Issue Log</t>
  </si>
  <si>
    <t>Issues raised + resolved during the build</t>
  </si>
  <si>
    <t>Date</t>
  </si>
  <si>
    <t>Issue</t>
  </si>
  <si>
    <t>Root Cause</t>
  </si>
  <si>
    <t>Resolution</t>
  </si>
  <si>
    <t>I-001</t>
  </si>
  <si>
    <t>TestDataFactory collision with Techtorch existing 1477-line class</t>
  </si>
  <si>
    <t>Both projects defined TestDataFactory at the same Apex namespace</t>
  </si>
  <si>
    <t>Renamed our class to OrgPrismTestDataFactory; updated all references</t>
  </si>
  <si>
    <t>Closed</t>
  </si>
  <si>
    <t>I-002</t>
  </si>
  <si>
    <t>Apex test code coverage below 75% on production org</t>
  </si>
  <si>
    <t>Detectors had untested branches; some early-return paths bypassed coverage instrumentation</t>
  </si>
  <si>
    <t>Added @TestVisible evaluateRow(Map) helpers + testStubSObjects, removed Schema.containsKey early-return; coverage now ≥75% across all classes</t>
  </si>
  <si>
    <t>I-003</t>
  </si>
  <si>
    <t>Validation rule on Opportunity blocked test seed for closed-won opps</t>
  </si>
  <si>
    <t>Techtorch requires Harvest_Project_Code__c for closed-won opps, breaks generic test fixtures</t>
  </si>
  <si>
    <t>Test relies on default median ($10K) when no closed-won opps exist; no test seed required</t>
  </si>
  <si>
    <t>I-004</t>
  </si>
  <si>
    <t>Apex reserved-word errors during build (like, end, number)</t>
  </si>
  <si>
    <t>These are reserved Apex keywords usable as identifiers in some contexts but not others</t>
  </si>
  <si>
    <t>Renamed variables to searchLike, endIdx, phaseNum; updated test + LWC references</t>
  </si>
  <si>
    <t>I-005</t>
  </si>
  <si>
    <t>SBQQ__QuoteLine__c not in Techtorch org compile-time type lookup</t>
  </si>
  <si>
    <t>CPQ not yet installed → strong typing fails even with dynamic Database.query</t>
  </si>
  <si>
    <t>Switched to List&lt;SObject&gt; + Map&lt;String,Object&gt; projection; aggregation in TestVisible helper for coverage</t>
  </si>
  <si>
    <t>I-006</t>
  </si>
  <si>
    <t>Lightning App Builder logo upload — ContentAsset deploy fragility via SFDX</t>
  </si>
  <si>
    <t>SFDX source format expects a precise binary + meta pair; subtle extension mismatches block deploy</t>
  </si>
  <si>
    <t>Workaround: upload logo manually via Setup → App Manager (30 seconds); will bundle in managed package</t>
  </si>
  <si>
    <t>Open</t>
  </si>
  <si>
    <t>OrgPrism — Architecture Decisions Log</t>
  </si>
  <si>
    <t>ADR-style record of key product and architecture choices</t>
  </si>
  <si>
    <t>Decision</t>
  </si>
  <si>
    <t>Context</t>
  </si>
  <si>
    <t>Consequences</t>
  </si>
  <si>
    <t>ADR-001</t>
  </si>
  <si>
    <t>Build OrgPrism as Lightning Web Components inside Salesforce (no iframe)</t>
  </si>
  <si>
    <t>Customers reject iframe-based SaaS overlays because of auth friction. Native LWC inherits org sharing, theming, navigation.</t>
  </si>
  <si>
    <t>Forces SOQL-based data layer instead of REST; constrains pure SaaS feature parity; payoff: zero-friction install, no SSO setup, fits AppExchange model.</t>
  </si>
  <si>
    <t>ADR-002</t>
  </si>
  <si>
    <t>Health Score formula stored in Custom Metadata Type (ScoreFormula__mdt)</t>
  </si>
  <si>
    <t>Admins need to tune Critical / Warning / Info weights without code change; managed-package customers must override defaults safely.</t>
  </si>
  <si>
    <t>CMT replaces hardcoded constants. Default record ships with Critical=2 Warning=1 Info=0. Trade-off: an extra describe call per scan; negligible runtime cost.</t>
  </si>
  <si>
    <t>ADR-003</t>
  </si>
  <si>
    <t>Detect installed packages via Schema.getGlobalDescribe() not InstalledSubscriberPackage</t>
  </si>
  <si>
    <t>InstalledSubscriberPackage SOQL requires "Author Apex" permission which subscriber users do not have; would break managed-package install.</t>
  </si>
  <si>
    <t>PackageDetector probes for SBQQ__QuoteLine__c, blng__BillingSchedule__c, ProductSellingModel via describe. Defensive but reliable across all customer orgs.</t>
  </si>
  <si>
    <t>ADR-004</t>
  </si>
  <si>
    <t>Suppression model: ForensicSuppression__c custom object keyed by (detectorId, primaryRecordId)</t>
  </si>
  <si>
    <t>False Positive / Not Relevant clicks must persist across scans; storing on the finding would not survive scan re-runs.</t>
  </si>
  <si>
    <t>ForensicScanService loads suppression keys at start, filters before insert. Idempotent inserts; suppression survives finding lifecycle.</t>
  </si>
  <si>
    <t>ADR-005</t>
  </si>
  <si>
    <t>Pure dynamic Apex (List&lt;SObject&gt; + Map projection) for optional managed-package objects</t>
  </si>
  <si>
    <t>CPQ / Billing / ARM may not be installed. Compile-time strong types break the class; reflective Database.query + describe survives.</t>
  </si>
  <si>
    <t>Pattern used across PackageDetector + future PricingDisciplineController + OrgComplexityController. Aggregation logic extracted to TestVisible helpers accepting generic Map&lt;String,Object&gt; rows for unit-test coverage.</t>
  </si>
  <si>
    <t>ADR-006</t>
  </si>
  <si>
    <t>Cross-LWC reactive refresh via window CustomEvent (not Lightning Message Service)</t>
  </si>
  <si>
    <t>LMS requires a MessageChannel metadata bundle + per-LWC subscription wiring. CustomEvent is simpler and supported in all Lightning contexts.</t>
  </si>
  <si>
    <t>heroBlock will fire op:scan-completed when implemented in Phase 4. Trade-off: window pollution if many LWCs; mitigated by namespacing event name.</t>
  </si>
  <si>
    <t>ADR-007</t>
  </si>
  <si>
    <t>AI Remediation Plan card will be deterministic v1 (no LLM call)</t>
  </si>
  <si>
    <t>Wiring a Named Credential to an LLM endpoint adds AppExchange security review surface and external dependency.</t>
  </si>
  <si>
    <t>RemediationPlanController will bucket detectors by effort into 3 phases with recommended-fix prose from a 20-detector registry. Same DTO shape as future LLM-backed version; future swap is controller-only.</t>
  </si>
  <si>
    <t>ADR-008</t>
  </si>
  <si>
    <t>Use cron year field for one-time scheduled scans (no custom queueable)</t>
  </si>
  <si>
    <t>System.schedule already supports YYYY in the year position. Building a custom queueable + System.abortJob lifecycle would double the surface area.</t>
  </si>
  <si>
    <t>ScanSchedule__c will store CronExpression__c verbatim. Re-scheduling = abort + reschedule. Trade-off: occupies a scheduled-job slot; mitigated by auto-abort on delete.</t>
  </si>
  <si>
    <t>Proposed</t>
  </si>
  <si>
    <t>ADR-009</t>
  </si>
  <si>
    <t>Title normalization for Top Issues grouping (regex-based strip of embedded IDs)</t>
  </si>
  <si>
    <t>Detectors will emit per-record titles ("Order 00000739 activated..."); raw title grouping would produce N singletons instead of one grouped row.</t>
  </si>
  <si>
    <t>Planned IssuesController.normalizeTitle stripping Order/Quote/Subscription/Contract/Asset/Opportunity/Amendment + record number patterns + standalone 4+ digit numbers + "Nd" age markers. Original titles preserved in modal drill-down.</t>
  </si>
  <si>
    <t>ADR-010</t>
  </si>
  <si>
    <t>Drag-to-reorder persistence via localStorage (not Apex)</t>
  </si>
  <si>
    <t>Card ordering is a personal preference; storing per-user in Apex requires UserSetting__c custom object + DML on every drag.</t>
  </si>
  <si>
    <t>categoryPerformanceGrid will use window.localStorage scoped per user-agent + section. Trade-off: order does not follow user across devices. Acceptable for v1.</t>
  </si>
  <si>
    <t>OrgPrism — Build Sequence (Step-by-Step)</t>
  </si>
  <si>
    <t>Read top-to-bottom — each row is the next thing built, why it matters, who uses it, how to verify</t>
  </si>
  <si>
    <t>#</t>
  </si>
  <si>
    <t>Step</t>
  </si>
  <si>
    <t>Business Use Case (Why)</t>
  </si>
  <si>
    <t>End User (Who)</t>
  </si>
  <si>
    <t>How They Use It / Test It</t>
  </si>
  <si>
    <t>Install OrgPrism into a Salesforce org</t>
  </si>
  <si>
    <t>A Salesforce admin needs a one-click install path with no consultant on the call. Without this, every customer evaluation is a custom deployment, which kills adoption.</t>
  </si>
  <si>
    <t>Salesforce administrator (one-time install)</t>
  </si>
  <si>
    <t>Open the installer link → click Install for Admins → wait ~2 minutes → confirm the OrgPrism app shows up in the App Launcher.</t>
  </si>
  <si>
    <t>Grant the right people access</t>
  </si>
  <si>
    <t>Different teams need different views — a CFO should see dollar findings but not raw scan logs; an admin sees everything. Granular access control prevents over-sharing.</t>
  </si>
  <si>
    <t>Salesforce administrator</t>
  </si>
  <si>
    <t>Setup → assign the OrgPrism User permission set to a test user → log in as that user → confirm they can open OrgPrism without errors.</t>
  </si>
  <si>
    <t>Run your first scan</t>
  </si>
  <si>
    <t>The first scan creates the baseline. Until the customer sees their own data in OrgPrism, the product is theoretical to them. Time-to-first-value matters.</t>
  </si>
  <si>
    <t>Salesforce administrator; CPQ admin</t>
  </si>
  <si>
    <t>Click "New Scan" on the OrgPrism dashboard → wait for the green banner ("Forensic scan complete") → confirm a health score and finding counts appear.</t>
  </si>
  <si>
    <t>Org Complexity Score (Simple → Very Complex)</t>
  </si>
  <si>
    <t>Before you can fix anything, you need to know how complex the org is. A score with breakdown across Price Rules / Bundles / Discount Schedules etc. tells the customer "you have 3x more price rules than a healthy org of your size" — opens the simplification conversation.</t>
  </si>
  <si>
    <t>Consultant pitching a simplification engagement; CPQ architect doing a self-audit</t>
  </si>
  <si>
    <t>Open the OrgPrism dashboard → look at the Org Complexity card → confirm it shows a number out of 150, a rating (Low / Moderate / High / Very High), and a breakdown of what is driving the score.</t>
  </si>
  <si>
    <t>Category Performance grid — 30 health cards</t>
  </si>
  <si>
    <t>A scoreboard across every area of your CPQ + Billing config: Products, Bundles, Approvals, Discounts, Price Rules, Billing Rules, Tax Rules, etc. Each card shows a score, a colored bar, and the number of issues. Lets you scan the whole org at a glance.</t>
  </si>
  <si>
    <t>Consultant doing a deep-dive review; admin spotting weak areas</t>
  </si>
  <si>
    <t>Open the dashboard → scroll to Category Performance → confirm 30 cards render across CPQ and Billing sections → drag a card to reorder it → refresh the page and confirm your custom order stuck.</t>
  </si>
  <si>
    <t>Pricing Discipline grade (A through F)</t>
  </si>
  <si>
    <t>A single letter grade that summarizes whether your sales team is honoring approved pricing or constantly overriding it. Computed from average discount and manual-override percentage across the last 12 months of quote lines. A "C" or worse is a sales-leadership conversation.</t>
  </si>
  <si>
    <t>Sales leadership; Chief Revenue Officer; Rev Ops</t>
  </si>
  <si>
    <t>Open the dashboard → look at the Pricing Discipline card → confirm a grade letter (A-F) with a colored chip, average discount %, manual override %, and a "Show top offenders" expand link.</t>
  </si>
  <si>
    <t>Configuration health checks (no-CPQ-data needed)</t>
  </si>
  <si>
    <t>Even with empty data, dozens of config-level issues can be detected: missing billing rules on active products, finance books not configured, legal entity unset, revenue recognition rules not assigned. These ship before the customer needs CPQ to be loaded.</t>
  </si>
  <si>
    <t>Salesforce admin reviewing the install</t>
  </si>
  <si>
    <t>Run a scan in a fresh sandbox → confirm config-only findings appear (missing billing rules, tax rules, legal entity, etc.) even though no quotes / orders exist yet.</t>
  </si>
  <si>
    <t>Revenue Leakage view — the headline dollar number</t>
  </si>
  <si>
    <t>Once the config is health-checked, the customer is ready for the big question: "How much money am I leaving on the table?" This view shows a verified-versus-estimated dollar total per year, broken into themes (Renewals, Discounting, Orders &amp; Billing, Subscriptions, Pricing Locks).</t>
  </si>
  <si>
    <t>CFO; consultant pitching a recovery engagement</t>
  </si>
  <si>
    <t>Open Findings tab → Revenue Leakage → confirm a total dollar number for the year with Verified and Estimated chips → click a theme card (e.g., Renewals) → drill into individual findings.</t>
  </si>
  <si>
    <t>Find renewals priced below the contract</t>
  </si>
  <si>
    <t>Many renewal quotes silently lose the contracted uplift — someone manually overrode the price, a Flow stripped the increase, etc. This is the single biggest leakage source in most CPQ orgs.</t>
  </si>
  <si>
    <t>Renewal manager; CPQ consultant; CFO</t>
  </si>
  <si>
    <t>Run a scan → open the Renewals theme card → click a finding → see the actual Quote with the suppressed uplift amount → click through to the Quote record in Salesforce.</t>
  </si>
  <si>
    <t>Find expired promotional discounts still applying</t>
  </si>
  <si>
    <t>A promo gave customers 20% off through Q2. It is now Q4 and the discount is still applying. OrgPrism finds these and shows the recurring dollar leak.</t>
  </si>
  <si>
    <t>Rev Ops; CPQ admin; CFO</t>
  </si>
  <si>
    <t>Run a scan → Discounting theme → confirm a finding for each expired-but-active discount → click to see the Quote line.</t>
  </si>
  <si>
    <t>Find activated orders without a billing schedule</t>
  </si>
  <si>
    <t>An order is activated, the sale is booked, but the Salesforce Billing engine never picked it up — usually because the product is missing a Charge Type or Billing Rule. Money already promised, never invoiced.</t>
  </si>
  <si>
    <t>Billing operations; revenue assurance; CFO</t>
  </si>
  <si>
    <t>Run a scan → Orders &amp; Billing theme → confirm a finding per activated order missing a billing schedule → click to open the Order in Salesforce.</t>
  </si>
  <si>
    <t>Find bundle items priced at zero</t>
  </si>
  <si>
    <t>Required bundle components that should bill but default to $0 because someone forgot to set the Charge Type. Common when new bundles are launched.</t>
  </si>
  <si>
    <t>CPQ admin; quote-to-cash analyst</t>
  </si>
  <si>
    <t>Run a scan → confirm Bundle Integrity finding with affected products → click to open the Product2 in Salesforce.</t>
  </si>
  <si>
    <t>Find orphaned subscriptions and missing assets</t>
  </si>
  <si>
    <t>Subscriptions with no parent Contract; active subscriptions with no Asset record. Both break renewals and provisioning downstream.</t>
  </si>
  <si>
    <t>Revenue assurance; provisioning team</t>
  </si>
  <si>
    <t>Run a scan → Subscriptions theme → confirm orphan subs surfaced → click to the subscription record.</t>
  </si>
  <si>
    <t>Find expired contracted prices still in use</t>
  </si>
  <si>
    <t>A negotiated discount price was locked for a customer for 2024 only. It is 2026 and that price is still being applied to new quotes. OrgPrism finds these.</t>
  </si>
  <si>
    <t>CPQ architect; finance team</t>
  </si>
  <si>
    <t>Run a scan → Pricing Locks theme → confirm finding for each expired contracted price → see the affected Quote line.</t>
  </si>
  <si>
    <t>Find process gaps — closed-won deals without quotes, missing approvals, undated amendments</t>
  </si>
  <si>
    <t>Process-hygiene findings that are not dollar leaks but represent audit-and-control failures. Closed-Won deals with no Quote (CPQ bypassed). Quote lines that should have been approved but were not. Amendments missing the effective date.</t>
  </si>
  <si>
    <t>Sales operations; internal audit; sales management</t>
  </si>
  <si>
    <t>Run a scan → Governance &amp; Pipeline tab → confirm finding count per detector → expand any to see the specific Opportunity / Quote line / Amendment.</t>
  </si>
  <si>
    <t>Pin every finding to its root cause</t>
  </si>
  <si>
    <t>A finding is just a symptom. Showing it on the Attribution Map alongside the Flow / Price Rule / Approval Process that caused it turns "you have a problem" into "fix this Flow and these 12 findings disappear".</t>
  </si>
  <si>
    <t>Salesforce admin remediating; consultant explaining root cause to client</t>
  </si>
  <si>
    <t>Open Attribution Map page → confirm root configs (Flows, Price Rules, etc.) listed and ranked by dollar at risk → expand any → see the findings caused by that config.</t>
  </si>
  <si>
    <t>Top Issues to Address — what to fix first</t>
  </si>
  <si>
    <t>Lands on the dashboard. Top 5 most consequential issues, grouped so similar findings collapse into one actionable row. The triage starting point.</t>
  </si>
  <si>
    <t>Anyone landing on the dashboard for the first time</t>
  </si>
  <si>
    <t>Open OrgPrism → confirm Top Issues card shows 5 grouped rows → click a row → confirm the modal opens listing the affected records.</t>
  </si>
  <si>
    <t>All Issues — search, filter, bulk acknowledge / resolve</t>
  </si>
  <si>
    <t>For working through the backlog. Search by title, filter by severity (Critical / Warning / Info) and status (Open / Acknowledged / Resolved), select multiple → bulk action.</t>
  </si>
  <si>
    <t>CPQ admin; remediation team lead</t>
  </si>
  <si>
    <t>Open All Issues → search for "renewal" → filter Critical → select 5 rows → click Bulk Acknowledge → confirm green toast and status updates.</t>
  </si>
  <si>
    <t>Drill into one finding — full detail screen</t>
  </si>
  <si>
    <t>Two views for a single finding: a quick modal for triage, and a full-page view for deep investigation. Both show What's Wrong, Why It Matters, Recommended Fix, and the list of affected records.</t>
  </si>
  <si>
    <t>Remediation engineer; consultant building a fix plan</t>
  </si>
  <si>
    <t>Click View on any finding → modal opens → click an affected record → opens that Salesforce record in a new tab → return to modal → click Mark Fixed → status flips to Resolved.</t>
  </si>
  <si>
    <t>Suppress false positives so they never come back</t>
  </si>
  <si>
    <t>When a user marks a finding as False Positive or Not Relevant, the next scan automatically skips that exact issue. Stops alert fatigue.</t>
  </si>
  <si>
    <t>Anyone reviewing findings</t>
  </si>
  <si>
    <t>Mark a finding as False Positive → re-run the scan → confirm that specific finding is gone (but other findings on the same detector remain).</t>
  </si>
  <si>
    <t>Impact × Effort matrix — what to fix first, visually</t>
  </si>
  <si>
    <t>A 3-by-3 grid that buckets every finding into Quick Wins / Worth Doing / Strategic / Defer etc. Helps consultants and clients prioritize: a $50K leak fixable in 2 hours is a different conversation from a $5K leak needing schema work.</t>
  </si>
  <si>
    <t>Consultant building a Statement of Work; client deciding what to tackle first</t>
  </si>
  <si>
    <t>Open dashboard → look at the What to Fix First grid → click the Quick Wins cell → confirm the modal shows the findings sitting in that quadrant with their dollar amounts.</t>
  </si>
  <si>
    <t>Score Trend + Scan History — am I getting healthier?</t>
  </si>
  <si>
    <t>A line chart of the health score across every scan ever run. Shows the customer their org getting better (or worse) over time. Proves OrgPrism is delivering value.</t>
  </si>
  <si>
    <t>Client executive reviewing remediation progress</t>
  </si>
  <si>
    <t>Click View History → confirm the line chart with all past scans → click a point on the chart → opens that specific scan's details.</t>
  </si>
  <si>
    <t>Since Last Scan — what changed today?</t>
  </si>
  <si>
    <t>A diff view between the two most recent scans showing New, Escalated, Resolved, and Improved findings with dollar deltas. Perfect for daily / weekly scan recipients.</t>
  </si>
  <si>
    <t>Anyone receiving scheduled scans; remediation team standup</t>
  </si>
  <si>
    <t>Run two scans with a change between them → confirm the Since Last Scan card shows non-zero counts → click See Full Diff for the complete breakdown.</t>
  </si>
  <si>
    <t>AI-Powered Analysis — plain-English headline</t>
  </si>
  <si>
    <t>A one-paragraph summary like "Your org has 17 critical issues centred on Product Billing Config and Bundle Integrity." Top 3 categories with View links. The non-technical executive summary.</t>
  </si>
  <si>
    <t>Any non-technical reviewer; CFO; sales leader</t>
  </si>
  <si>
    <t>Open dashboard → look at the AI-Powered Analysis card → confirm a headline sentence with category links → click View on any category to drill into its findings.</t>
  </si>
  <si>
    <t>3-Phase AI Remediation Plan</t>
  </si>
  <si>
    <t>A structured fix plan organized by effort: Phase 1 (Highest ROI, less than 4 hours each), Phase 2 (Core Fixes, 4-12 hours), Phase 3 (Strategic Initiatives). Time estimates and recoverable dollars per step.</t>
  </si>
  <si>
    <t>Consultant building the engagement plan; client approving the budget</t>
  </si>
  <si>
    <t>Open the AI Remediation Plan card → confirm 3 phases populate with steps, time estimates, and total dollar recovery → click Regenerate to refresh.</t>
  </si>
  <si>
    <t>Executive PDF Report — the consultant deliverable</t>
  </si>
  <si>
    <t>The 5-page polished PDF a consultant hands the client at end of engagement. Health score, top findings, dollar recovery, recommended next steps. The artifact that justifies the bill.</t>
  </si>
  <si>
    <t>CPQ consultant delivering an audit; client paying for the work</t>
  </si>
  <si>
    <t>Click Download Client Report → PDF generates → open it → confirm 5 pages with cover, score, top 10 findings, dollar totals, recommended next steps.</t>
  </si>
  <si>
    <t>CSV exports for offline analysis</t>
  </si>
  <si>
    <t>Some customers want the raw data in Excel or Data Loader to drive their own remediation outside OrgPrism. Export per finding or bulk recovery actions.</t>
  </si>
  <si>
    <t>Power-user admin who lives in Excel</t>
  </si>
  <si>
    <t>Click Export → download CSV → open in Excel → confirm headers and one row per finding.</t>
  </si>
  <si>
    <t>Schedule scans on a cadence</t>
  </si>
  <si>
    <t>Run scans automatically — one-time / daily / weekly / monthly. So leaks are caught proactively, not when someone remembers to check.</t>
  </si>
  <si>
    <t>Salesforce admin setting up nightly monitoring</t>
  </si>
  <si>
    <t>Click Schedule → choose Weekly + Mondays at 8 AM → save → confirm Salesforce Setup shows the scheduled job → wait one cycle → confirm a new scan appears.</t>
  </si>
  <si>
    <t>Email summary when a scan finishes</t>
  </si>
  <si>
    <t>Scheduled scans email the requestor with an executive summary inline. Makes nightly scans actionable without anyone needing to log in.</t>
  </si>
  <si>
    <t>Anyone who scheduled a scan</t>
  </si>
  <si>
    <t>Schedule a scan → wait for it to fire → confirm email arrives with subject, summary, and a link back to the scan in Salesforce.</t>
  </si>
  <si>
    <t>Auto-refresh after a new scan</t>
  </si>
  <si>
    <t>When a scan finishes, every card on the dashboard refreshes automatically — no "click refresh" friction.</t>
  </si>
  <si>
    <t>Anyone running a manual scan</t>
  </si>
  <si>
    <t>Open dashboard → click New Scan → without doing anything else, confirm the score, Top Issues, Revenue Leakage, and Category Performance all update within a few seconds.</t>
  </si>
  <si>
    <t>Mobile responsive</t>
  </si>
  <si>
    <t>CPQ consultants demo from phones in client meetings. The dashboard must work on phone-size screens, not just desktop.</t>
  </si>
  <si>
    <t>Consultant on mobile during a client call</t>
  </si>
  <si>
    <t>Open OrgPrism on a phone (or DevTools mobile view) → confirm cards stack vertically, modals fit, buttons are tap-friendly.</t>
  </si>
  <si>
    <t>Dark mode</t>
  </si>
  <si>
    <t>Salesforce now ships dark mode at the org level. OrgPrism must respect the user's theme, not stay blindingly bright.</t>
  </si>
  <si>
    <t>Any user who set dark mode in Salesforce</t>
  </si>
  <si>
    <t>Switch Lightning to dark mode → open OrgPrism → confirm card backgrounds, text, and chip contrasts all adapt cleanly.</t>
  </si>
  <si>
    <t>Accessibility (WCAG 2.1 AA)</t>
  </si>
  <si>
    <t>Required by enterprise procurement and by AppExchange itself. Keyboard navigation, screen-reader announcements, visible focus rings, reduced-motion respect.</t>
  </si>
  <si>
    <t>Users with disabilities; enterprise procurement reviewers</t>
  </si>
  <si>
    <t>Tab through the dashboard → confirm visible focus on every interactive → open a modal → press Escape → modal closes → enable OS reduced motion → confirm transitions stop.</t>
  </si>
  <si>
    <t>Field-level security hardening</t>
  </si>
  <si>
    <t>Every data read enforces the user's Salesforce field permissions, so OrgPrism never leaks data the user is not supposed to see. Required for AppExchange security review.</t>
  </si>
  <si>
    <t>Salesforce security review team; enterprise security reviewer</t>
  </si>
  <si>
    <t>Test as a low-privilege user → confirm OrgPrism either shows correct subset or fails clean. No data leakage.</t>
  </si>
  <si>
    <t>Security review documentation pack</t>
  </si>
  <si>
    <t>Data flow diagrams, sharing model writeup, external service inventory (none for us), PII handling. Required artifacts for the AppExchange listing submission.</t>
  </si>
  <si>
    <t>Salesforce security review team</t>
  </si>
  <si>
    <t>Submit listing draft → confirm all required documentation is attached → no missing-artifact callouts from the reviewer.</t>
  </si>
  <si>
    <t>Package for AppExchange</t>
  </si>
  <si>
    <t>Wrap OrgPrism into an installable package that customers install with one click. Namespace prefix prevents conflicts with their existing customizations.</t>
  </si>
  <si>
    <t>Customer Salesforce admin installing OrgPrism for the first time</t>
  </si>
  <si>
    <t>Generate package via DevHub → click the install URL in a fresh sandbox → confirm install completes without errors → confirm all objects, components, and Apex deploy with the namespace.</t>
  </si>
  <si>
    <t>AppExchange listing — go to market</t>
  </si>
  <si>
    <t>The marketing surface that converts AppExchange visitors into installs. Listing copy, screenshots, demo video, pricing tiers.</t>
  </si>
  <si>
    <t>Anyone browsing AppExchange evaluating OrgPrism</t>
  </si>
  <si>
    <t>Submit listing draft → preview → confirm hero image, 5 screenshots, 90-second demo video, pricing tier table, and free-trial call to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</si>
</sst>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 d, yyyy"/>
    <numFmt numFmtId="165" formatCode="mmm d"/>
  </numFmts>
  <fonts count="1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6B7280"/>
      <sz val="11"/>
      <name val="Calibri"/>
    </font>
    <font>
      <b/>
      <color rgb="FF0F2C59"/>
      <sz val="11"/>
      <name val="Calibri"/>
    </font>
    <font>
      <b/>
      <color rgb="FF047857"/>
      <sz val="11"/>
      <name val="Calibri"/>
    </font>
    <font>
      <b/>
      <color rgb="FF0F2C59"/>
      <sz val="12"/>
      <name val="Calibri"/>
    </font>
    <font>
      <b/>
      <color rgb="FF6B7280"/>
      <sz val="10"/>
      <name val="Calibri"/>
    </font>
    <font>
      <b/>
      <color rgb="FF0F2C59"/>
      <sz val="22"/>
      <name val="Calibri"/>
    </font>
    <font>
      <sz val="11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B45309"/>
      <sz val="11"/>
      <name val="Calibri"/>
    </font>
    <font>
      <b/>
      <color rgb="FF2563EB"/>
      <sz val="11"/>
      <name val="Calibri"/>
    </font>
    <font>
      <b/>
      <color rgb="FFB91C1C"/>
      <sz val="11"/>
      <name val="Calibri"/>
    </font>
    <font>
      <b/>
      <color rgb="FF0369A1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2C59"/>
      </patternFill>
    </fill>
    <fill>
      <patternFill patternType="solid">
        <fgColor rgb="FF0A1F40"/>
      </patternFill>
    </fill>
    <fill>
      <patternFill patternType="solid">
        <fgColor rgb="FFD1FAE5"/>
      </patternFill>
    </fill>
    <fill>
      <patternFill patternType="solid">
        <fgColor rgb="FFF3F4F6"/>
      </patternFill>
    </fill>
    <fill>
      <patternFill patternType="solid">
        <fgColor rgb="FFFAFAFA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  <xf numFmtId="164" fontId="4" fillId="0" borderId="0" xfId="0" applyNumberFormat="1" applyFon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11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4" fontId="9" fillId="6" borderId="1" xfId="0" applyNumberFormat="1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top"/>
    </xf>
    <xf numFmtId="165" fontId="9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2" fillId="6" borderId="1" xfId="0" applyFont="1" applyFill="1" applyBorder="1" applyAlignment="1">
      <alignment vertical="top"/>
    </xf>
    <xf numFmtId="165" fontId="9" fillId="6" borderId="1" xfId="0" applyNumberFormat="1" applyFont="1" applyFill="1" applyBorder="1" applyAlignment="1">
      <alignment vertical="top"/>
    </xf>
    <xf numFmtId="0" fontId="9" fillId="6" borderId="1" xfId="0" applyFont="1" applyFill="1" applyBorder="1" applyAlignment="1">
      <alignment vertical="top"/>
    </xf>
    <xf numFmtId="0" fontId="13" fillId="0" borderId="1" xfId="0" applyFon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vertical="top"/>
    </xf>
    <xf numFmtId="165" fontId="0" fillId="6" borderId="1" xfId="0" applyNumberFormat="1" applyFill="1" applyBorder="1" applyAlignment="1">
      <alignment vertical="top"/>
    </xf>
    <xf numFmtId="0" fontId="11" fillId="6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C59"/>
  </sheetPr>
  <dimension ref="A1:H29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2" customWidth="1"/>
    <col min="3" max="8" width="18" customWidth="1"/>
  </cols>
  <sheetData>
    <row r="1" ht="4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5">
        <v>46142.77083333333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5">
        <v>46176.442387372685</v>
      </c>
    </row>
    <row r="10" spans="1:2" x14ac:dyDescent="0.25">
      <c r="A10" s="3" t="s">
        <v>12</v>
      </c>
      <c r="B10" s="6" t="s">
        <v>13</v>
      </c>
    </row>
    <row r="11" spans="1:2" x14ac:dyDescent="0.25">
      <c r="A11" s="3" t="s">
        <v>14</v>
      </c>
      <c r="B11" s="4" t="s">
        <v>15</v>
      </c>
    </row>
    <row r="13" ht="24" customHeight="1" spans="1:8" x14ac:dyDescent="0.25">
      <c r="A13" s="7" t="s">
        <v>16</v>
      </c>
      <c r="B13" s="7"/>
      <c r="C13" s="7"/>
      <c r="D13" s="7"/>
      <c r="E13" s="7"/>
      <c r="F13" s="7"/>
      <c r="G13" s="7"/>
      <c r="H13" s="7"/>
    </row>
    <row r="14" spans="1:8" x14ac:dyDescent="0.25">
      <c r="A14" s="8" t="s">
        <v>17</v>
      </c>
      <c r="B14" s="8"/>
      <c r="C14" s="8" t="s">
        <v>18</v>
      </c>
      <c r="D14" s="8"/>
      <c r="E14" s="8" t="s">
        <v>19</v>
      </c>
      <c r="F14" s="8"/>
      <c r="G14" s="8" t="s">
        <v>20</v>
      </c>
      <c r="H14" s="8"/>
    </row>
    <row r="15" ht="36" customHeight="1" spans="1:8" x14ac:dyDescent="0.25">
      <c r="A15" s="9">
        <v>130</v>
      </c>
      <c r="B15" s="9"/>
      <c r="C15" s="9">
        <v>32</v>
      </c>
      <c r="D15" s="9"/>
      <c r="E15" s="9">
        <v>8</v>
      </c>
      <c r="F15" s="9"/>
      <c r="G15" s="9">
        <v>90</v>
      </c>
      <c r="H15" s="9"/>
    </row>
    <row r="17" spans="1:8" x14ac:dyDescent="0.25">
      <c r="A17" s="8" t="s">
        <v>21</v>
      </c>
      <c r="B17" s="8"/>
      <c r="C17" s="8" t="s">
        <v>22</v>
      </c>
      <c r="D17" s="8"/>
      <c r="E17" s="8" t="s">
        <v>23</v>
      </c>
      <c r="F17" s="8"/>
      <c r="G17" s="8" t="s">
        <v>24</v>
      </c>
      <c r="H17" s="8"/>
    </row>
    <row r="18" ht="36" customHeight="1" spans="1:8" x14ac:dyDescent="0.25">
      <c r="A18" s="9" t="s">
        <v>25</v>
      </c>
      <c r="B18" s="9"/>
      <c r="C18" s="9" t="s">
        <v>26</v>
      </c>
      <c r="D18" s="9"/>
      <c r="E18" s="9">
        <v>91</v>
      </c>
      <c r="F18" s="9"/>
      <c r="G18" s="9">
        <v>6</v>
      </c>
      <c r="H18" s="9"/>
    </row>
    <row r="20" ht="24" customHeight="1" spans="1:8" x14ac:dyDescent="0.25">
      <c r="A20" s="7" t="s">
        <v>27</v>
      </c>
      <c r="B20" s="7"/>
      <c r="C20" s="7"/>
      <c r="D20" s="7"/>
      <c r="E20" s="7"/>
      <c r="F20" s="7"/>
      <c r="G20" s="7"/>
      <c r="H20" s="7"/>
    </row>
    <row r="21" ht="48" customHeight="1" spans="1:8" x14ac:dyDescent="0.25">
      <c r="A21" s="10" t="s">
        <v>28</v>
      </c>
      <c r="B21" s="10"/>
      <c r="C21" s="10"/>
      <c r="D21" s="10"/>
      <c r="E21" s="10"/>
      <c r="F21" s="10"/>
      <c r="G21" s="10"/>
      <c r="H21" s="10"/>
    </row>
    <row r="22" ht="8" customHeight="1" spans="1:8" x14ac:dyDescent="0.25">
      <c r="A22" s="10" t="s">
        <v>29</v>
      </c>
      <c r="B22" s="10"/>
      <c r="C22" s="10"/>
      <c r="D22" s="10"/>
      <c r="E22" s="10"/>
      <c r="F22" s="10"/>
      <c r="G22" s="10"/>
      <c r="H22" s="10"/>
    </row>
    <row r="23" ht="48" customHeight="1" spans="1:8" x14ac:dyDescent="0.25">
      <c r="A23" s="10" t="s">
        <v>30</v>
      </c>
      <c r="B23" s="10"/>
      <c r="C23" s="10"/>
      <c r="D23" s="10"/>
      <c r="E23" s="10"/>
      <c r="F23" s="10"/>
      <c r="G23" s="10"/>
      <c r="H23" s="10"/>
    </row>
    <row r="24" ht="8" customHeight="1" spans="1:8" x14ac:dyDescent="0.25">
      <c r="A24" s="10" t="s">
        <v>29</v>
      </c>
      <c r="B24" s="10"/>
      <c r="C24" s="10"/>
      <c r="D24" s="10"/>
      <c r="E24" s="10"/>
      <c r="F24" s="10"/>
      <c r="G24" s="10"/>
      <c r="H24" s="10"/>
    </row>
    <row r="25" ht="48" customHeight="1" spans="1:8" x14ac:dyDescent="0.25">
      <c r="A25" s="10" t="s">
        <v>31</v>
      </c>
      <c r="B25" s="10"/>
      <c r="C25" s="10"/>
      <c r="D25" s="10"/>
      <c r="E25" s="10"/>
      <c r="F25" s="10"/>
      <c r="G25" s="10"/>
      <c r="H25" s="10"/>
    </row>
    <row r="26" ht="8" customHeight="1" spans="1:8" x14ac:dyDescent="0.25">
      <c r="A26" s="10" t="s">
        <v>29</v>
      </c>
      <c r="B26" s="10"/>
      <c r="C26" s="10"/>
      <c r="D26" s="10"/>
      <c r="E26" s="10"/>
      <c r="F26" s="10"/>
      <c r="G26" s="10"/>
      <c r="H26" s="10"/>
    </row>
    <row r="27" ht="48" customHeight="1" spans="1:8" x14ac:dyDescent="0.25">
      <c r="A27" s="10" t="s">
        <v>32</v>
      </c>
      <c r="B27" s="10"/>
      <c r="C27" s="10"/>
      <c r="D27" s="10"/>
      <c r="E27" s="10"/>
      <c r="F27" s="10"/>
      <c r="G27" s="10"/>
      <c r="H27" s="10"/>
    </row>
    <row r="28" ht="8" customHeight="1" spans="1:8" x14ac:dyDescent="0.25">
      <c r="A28" s="10" t="s">
        <v>29</v>
      </c>
      <c r="B28" s="10"/>
      <c r="C28" s="10"/>
      <c r="D28" s="10"/>
      <c r="E28" s="10"/>
      <c r="F28" s="10"/>
      <c r="G28" s="10"/>
      <c r="H28" s="10"/>
    </row>
    <row r="29" ht="20" customHeight="1" spans="1:8" x14ac:dyDescent="0.25">
      <c r="A29" s="10" t="s">
        <v>33</v>
      </c>
      <c r="B29" s="10"/>
      <c r="C29" s="10"/>
      <c r="D29" s="10"/>
      <c r="E29" s="10"/>
      <c r="F29" s="10"/>
      <c r="G29" s="10"/>
      <c r="H29" s="10"/>
    </row>
  </sheetData>
  <mergeCells count="29">
    <mergeCell ref="A1:H1"/>
    <mergeCell ref="A2:H2"/>
    <mergeCell ref="A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7:B17"/>
    <mergeCell ref="C17:D17"/>
    <mergeCell ref="E17:F17"/>
    <mergeCell ref="G17:H17"/>
    <mergeCell ref="A18:B18"/>
    <mergeCell ref="C18:D18"/>
    <mergeCell ref="E18:F18"/>
    <mergeCell ref="G18:H18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G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  <col min="3" max="7" width="14" customWidth="1"/>
  </cols>
  <sheetData>
    <row r="1" ht="36" customHeight="1" spans="1:7" x14ac:dyDescent="0.25">
      <c r="A1" s="1" t="s">
        <v>34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35</v>
      </c>
      <c r="B2" s="2"/>
      <c r="C2" s="2"/>
      <c r="D2" s="2"/>
      <c r="E2" s="2"/>
      <c r="F2" s="2"/>
      <c r="G2" s="2"/>
    </row>
    <row r="4" ht="28" customHeight="1" spans="1:7" x14ac:dyDescent="0.25">
      <c r="A4" s="11" t="s">
        <v>14</v>
      </c>
      <c r="B4" s="11" t="s">
        <v>36</v>
      </c>
      <c r="C4" s="11" t="s">
        <v>37</v>
      </c>
      <c r="D4" s="11" t="s">
        <v>38</v>
      </c>
      <c r="E4" s="11" t="s">
        <v>39</v>
      </c>
      <c r="F4" s="11" t="s">
        <v>40</v>
      </c>
      <c r="G4" s="11" t="s">
        <v>41</v>
      </c>
    </row>
    <row r="5" ht="30" customHeight="1" spans="1:7" x14ac:dyDescent="0.25">
      <c r="A5" s="12" t="s">
        <v>42</v>
      </c>
      <c r="B5" s="13" t="s">
        <v>43</v>
      </c>
      <c r="C5" s="13" t="s">
        <v>5</v>
      </c>
      <c r="D5" s="14">
        <v>46142.77083333333</v>
      </c>
      <c r="E5" s="14">
        <v>46148.77083333333</v>
      </c>
      <c r="F5" s="15" t="s">
        <v>44</v>
      </c>
      <c r="G5" s="16">
        <v>1</v>
      </c>
    </row>
    <row r="6" ht="30" customHeight="1" spans="1:7" x14ac:dyDescent="0.25">
      <c r="A6" s="17" t="s">
        <v>45</v>
      </c>
      <c r="B6" s="18" t="s">
        <v>46</v>
      </c>
      <c r="C6" s="18" t="s">
        <v>5</v>
      </c>
      <c r="D6" s="19">
        <v>46149.77083333333</v>
      </c>
      <c r="E6" s="19">
        <v>46164.77083333333</v>
      </c>
      <c r="F6" s="20" t="s">
        <v>19</v>
      </c>
      <c r="G6" s="21">
        <v>0.4</v>
      </c>
    </row>
    <row r="7" ht="30" customHeight="1" spans="1:7" x14ac:dyDescent="0.25">
      <c r="A7" s="12" t="s">
        <v>47</v>
      </c>
      <c r="B7" s="13" t="s">
        <v>48</v>
      </c>
      <c r="C7" s="13" t="s">
        <v>5</v>
      </c>
      <c r="D7" s="14">
        <v>46165.77083333333</v>
      </c>
      <c r="E7" s="14">
        <v>46186.77083333333</v>
      </c>
      <c r="F7" s="22" t="s">
        <v>49</v>
      </c>
      <c r="G7" s="16">
        <v>0</v>
      </c>
    </row>
    <row r="8" ht="30" customHeight="1" spans="1:7" x14ac:dyDescent="0.25">
      <c r="A8" s="17" t="s">
        <v>50</v>
      </c>
      <c r="B8" s="18" t="s">
        <v>51</v>
      </c>
      <c r="C8" s="18" t="s">
        <v>5</v>
      </c>
      <c r="D8" s="19">
        <v>46187.77083333333</v>
      </c>
      <c r="E8" s="19">
        <v>46197.77083333333</v>
      </c>
      <c r="F8" s="22" t="s">
        <v>49</v>
      </c>
      <c r="G8" s="21">
        <v>0</v>
      </c>
    </row>
    <row r="9" ht="30" customHeight="1" spans="1:7" x14ac:dyDescent="0.25">
      <c r="A9" s="12" t="s">
        <v>52</v>
      </c>
      <c r="B9" s="13" t="s">
        <v>53</v>
      </c>
      <c r="C9" s="13" t="s">
        <v>5</v>
      </c>
      <c r="D9" s="14">
        <v>46198.77083333333</v>
      </c>
      <c r="E9" s="14">
        <v>46209.77083333333</v>
      </c>
      <c r="F9" s="22" t="s">
        <v>49</v>
      </c>
      <c r="G9" s="16">
        <v>0</v>
      </c>
    </row>
    <row r="10" ht="30" customHeight="1" spans="1:7" x14ac:dyDescent="0.25">
      <c r="A10" s="17" t="s">
        <v>54</v>
      </c>
      <c r="B10" s="18" t="s">
        <v>55</v>
      </c>
      <c r="C10" s="18" t="s">
        <v>5</v>
      </c>
      <c r="D10" s="19">
        <v>46210.77083333333</v>
      </c>
      <c r="E10" s="19">
        <v>46220.77083333333</v>
      </c>
      <c r="F10" s="22" t="s">
        <v>49</v>
      </c>
      <c r="G10" s="21">
        <v>0</v>
      </c>
    </row>
    <row r="11" ht="30" customHeight="1" spans="1:7" x14ac:dyDescent="0.25">
      <c r="A11" s="12" t="s">
        <v>56</v>
      </c>
      <c r="B11" s="13" t="s">
        <v>57</v>
      </c>
      <c r="C11" s="13" t="s">
        <v>5</v>
      </c>
      <c r="D11" s="14">
        <v>46221.77083333333</v>
      </c>
      <c r="E11" s="14">
        <v>46235.77083333333</v>
      </c>
      <c r="F11" s="22" t="s">
        <v>49</v>
      </c>
      <c r="G11" s="16">
        <v>0</v>
      </c>
    </row>
    <row r="12" ht="30" customHeight="1" spans="1:7" x14ac:dyDescent="0.25">
      <c r="A12" s="17" t="s">
        <v>58</v>
      </c>
      <c r="B12" s="18" t="s">
        <v>59</v>
      </c>
      <c r="C12" s="18" t="s">
        <v>5</v>
      </c>
      <c r="D12" s="18"/>
      <c r="E12" s="18"/>
      <c r="F12" s="22" t="s">
        <v>49</v>
      </c>
      <c r="G12" s="21">
        <v>0</v>
      </c>
    </row>
  </sheetData>
  <autoFilter ref="A4:G12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H3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50" customWidth="1"/>
    <col min="5" max="5" width="12" customWidth="1"/>
    <col min="6" max="6" width="8" customWidth="1"/>
    <col min="7" max="7" width="10" customWidth="1"/>
    <col min="8" max="8" width="14" customWidth="1"/>
  </cols>
  <sheetData>
    <row r="1" ht="36" customHeight="1" spans="1:8" x14ac:dyDescent="0.25">
      <c r="A1" s="1" t="s">
        <v>60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61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11" t="s">
        <v>62</v>
      </c>
      <c r="B4" s="11" t="s">
        <v>63</v>
      </c>
      <c r="C4" s="11" t="s">
        <v>64</v>
      </c>
      <c r="D4" s="11" t="s">
        <v>65</v>
      </c>
      <c r="E4" s="11" t="s">
        <v>66</v>
      </c>
      <c r="F4" s="11" t="s">
        <v>67</v>
      </c>
      <c r="G4" s="11" t="s">
        <v>68</v>
      </c>
      <c r="H4" s="11" t="s">
        <v>40</v>
      </c>
    </row>
    <row r="5" ht="38" customHeight="1" spans="1:8" x14ac:dyDescent="0.25">
      <c r="A5" s="23" t="s">
        <v>69</v>
      </c>
      <c r="B5" s="24" t="s">
        <v>70</v>
      </c>
      <c r="C5" s="24" t="s">
        <v>71</v>
      </c>
      <c r="D5" s="24" t="s">
        <v>72</v>
      </c>
      <c r="E5" s="25" t="s">
        <v>73</v>
      </c>
      <c r="F5" s="26">
        <v>21</v>
      </c>
      <c r="G5" s="27" t="s">
        <v>74</v>
      </c>
      <c r="H5" s="15" t="s">
        <v>44</v>
      </c>
    </row>
    <row r="6" ht="38" customHeight="1" spans="1:8" x14ac:dyDescent="0.25">
      <c r="A6" s="28" t="s">
        <v>75</v>
      </c>
      <c r="B6" s="29" t="s">
        <v>76</v>
      </c>
      <c r="C6" s="29" t="s">
        <v>77</v>
      </c>
      <c r="D6" s="29" t="s">
        <v>78</v>
      </c>
      <c r="E6" s="25" t="s">
        <v>73</v>
      </c>
      <c r="F6" s="30">
        <v>8</v>
      </c>
      <c r="G6" s="31" t="s">
        <v>74</v>
      </c>
      <c r="H6" s="15" t="s">
        <v>44</v>
      </c>
    </row>
    <row r="7" ht="38" customHeight="1" spans="1:8" x14ac:dyDescent="0.25">
      <c r="A7" s="23" t="s">
        <v>79</v>
      </c>
      <c r="B7" s="24" t="s">
        <v>70</v>
      </c>
      <c r="C7" s="24" t="s">
        <v>80</v>
      </c>
      <c r="D7" s="24" t="s">
        <v>81</v>
      </c>
      <c r="E7" s="25" t="s">
        <v>73</v>
      </c>
      <c r="F7" s="26">
        <v>13</v>
      </c>
      <c r="G7" s="27" t="s">
        <v>82</v>
      </c>
      <c r="H7" s="15" t="s">
        <v>44</v>
      </c>
    </row>
    <row r="8" ht="38" customHeight="1" spans="1:8" x14ac:dyDescent="0.25">
      <c r="A8" s="28" t="s">
        <v>83</v>
      </c>
      <c r="B8" s="29" t="s">
        <v>70</v>
      </c>
      <c r="C8" s="29" t="s">
        <v>84</v>
      </c>
      <c r="D8" s="29" t="s">
        <v>85</v>
      </c>
      <c r="E8" s="25" t="s">
        <v>73</v>
      </c>
      <c r="F8" s="30">
        <v>13</v>
      </c>
      <c r="G8" s="31" t="s">
        <v>86</v>
      </c>
      <c r="H8" s="15" t="s">
        <v>44</v>
      </c>
    </row>
    <row r="9" ht="38" customHeight="1" spans="1:8" x14ac:dyDescent="0.25">
      <c r="A9" s="23" t="s">
        <v>87</v>
      </c>
      <c r="B9" s="24" t="s">
        <v>70</v>
      </c>
      <c r="C9" s="24" t="s">
        <v>88</v>
      </c>
      <c r="D9" s="24" t="s">
        <v>89</v>
      </c>
      <c r="E9" s="25" t="s">
        <v>73</v>
      </c>
      <c r="F9" s="26">
        <v>13</v>
      </c>
      <c r="G9" s="27" t="s">
        <v>90</v>
      </c>
      <c r="H9" s="15" t="s">
        <v>44</v>
      </c>
    </row>
    <row r="10" ht="38" customHeight="1" spans="1:8" x14ac:dyDescent="0.25">
      <c r="A10" s="28" t="s">
        <v>91</v>
      </c>
      <c r="B10" s="29" t="s">
        <v>70</v>
      </c>
      <c r="C10" s="29" t="s">
        <v>92</v>
      </c>
      <c r="D10" s="29" t="s">
        <v>93</v>
      </c>
      <c r="E10" s="25" t="s">
        <v>73</v>
      </c>
      <c r="F10" s="30">
        <v>13</v>
      </c>
      <c r="G10" s="31" t="s">
        <v>94</v>
      </c>
      <c r="H10" s="15" t="s">
        <v>44</v>
      </c>
    </row>
    <row r="11" ht="38" customHeight="1" spans="1:8" x14ac:dyDescent="0.25">
      <c r="A11" s="23" t="s">
        <v>95</v>
      </c>
      <c r="B11" s="24" t="s">
        <v>70</v>
      </c>
      <c r="C11" s="24" t="s">
        <v>96</v>
      </c>
      <c r="D11" s="24" t="s">
        <v>97</v>
      </c>
      <c r="E11" s="25" t="s">
        <v>73</v>
      </c>
      <c r="F11" s="26">
        <v>13</v>
      </c>
      <c r="G11" s="27" t="s">
        <v>98</v>
      </c>
      <c r="H11" s="20" t="s">
        <v>19</v>
      </c>
    </row>
    <row r="12" ht="38" customHeight="1" spans="1:8" x14ac:dyDescent="0.25">
      <c r="A12" s="28" t="s">
        <v>99</v>
      </c>
      <c r="B12" s="29" t="s">
        <v>100</v>
      </c>
      <c r="C12" s="29" t="s">
        <v>101</v>
      </c>
      <c r="D12" s="29" t="s">
        <v>102</v>
      </c>
      <c r="E12" s="25" t="s">
        <v>73</v>
      </c>
      <c r="F12" s="30">
        <v>13</v>
      </c>
      <c r="G12" s="31" t="s">
        <v>103</v>
      </c>
      <c r="H12" s="20" t="s">
        <v>19</v>
      </c>
    </row>
    <row r="13" ht="38" customHeight="1" spans="1:8" x14ac:dyDescent="0.25">
      <c r="A13" s="23" t="s">
        <v>104</v>
      </c>
      <c r="B13" s="24" t="s">
        <v>105</v>
      </c>
      <c r="C13" s="24" t="s">
        <v>106</v>
      </c>
      <c r="D13" s="24" t="s">
        <v>107</v>
      </c>
      <c r="E13" s="25" t="s">
        <v>73</v>
      </c>
      <c r="F13" s="26">
        <v>8</v>
      </c>
      <c r="G13" s="27" t="s">
        <v>82</v>
      </c>
      <c r="H13" s="15" t="s">
        <v>44</v>
      </c>
    </row>
    <row r="14" ht="38" customHeight="1" spans="1:8" x14ac:dyDescent="0.25">
      <c r="A14" s="28" t="s">
        <v>108</v>
      </c>
      <c r="B14" s="29" t="s">
        <v>105</v>
      </c>
      <c r="C14" s="29" t="s">
        <v>109</v>
      </c>
      <c r="D14" s="29" t="s">
        <v>110</v>
      </c>
      <c r="E14" s="20" t="s">
        <v>111</v>
      </c>
      <c r="F14" s="30">
        <v>8</v>
      </c>
      <c r="G14" s="31" t="s">
        <v>82</v>
      </c>
      <c r="H14" s="15" t="s">
        <v>44</v>
      </c>
    </row>
    <row r="15" ht="38" customHeight="1" spans="1:8" x14ac:dyDescent="0.25">
      <c r="A15" s="23" t="s">
        <v>112</v>
      </c>
      <c r="B15" s="24" t="s">
        <v>113</v>
      </c>
      <c r="C15" s="24" t="s">
        <v>114</v>
      </c>
      <c r="D15" s="24" t="s">
        <v>115</v>
      </c>
      <c r="E15" s="25" t="s">
        <v>73</v>
      </c>
      <c r="F15" s="26">
        <v>13</v>
      </c>
      <c r="G15" s="27" t="s">
        <v>98</v>
      </c>
      <c r="H15" s="20" t="s">
        <v>19</v>
      </c>
    </row>
    <row r="16" ht="38" customHeight="1" spans="1:8" x14ac:dyDescent="0.25">
      <c r="A16" s="28" t="s">
        <v>116</v>
      </c>
      <c r="B16" s="29" t="s">
        <v>113</v>
      </c>
      <c r="C16" s="29" t="s">
        <v>117</v>
      </c>
      <c r="D16" s="29" t="s">
        <v>118</v>
      </c>
      <c r="E16" s="25" t="s">
        <v>73</v>
      </c>
      <c r="F16" s="30">
        <v>13</v>
      </c>
      <c r="G16" s="31" t="s">
        <v>98</v>
      </c>
      <c r="H16" s="20" t="s">
        <v>19</v>
      </c>
    </row>
    <row r="17" ht="38" customHeight="1" spans="1:8" x14ac:dyDescent="0.25">
      <c r="A17" s="23" t="s">
        <v>119</v>
      </c>
      <c r="B17" s="24" t="s">
        <v>70</v>
      </c>
      <c r="C17" s="24" t="s">
        <v>120</v>
      </c>
      <c r="D17" s="24" t="s">
        <v>121</v>
      </c>
      <c r="E17" s="25" t="s">
        <v>73</v>
      </c>
      <c r="F17" s="26">
        <v>8</v>
      </c>
      <c r="G17" s="27" t="s">
        <v>122</v>
      </c>
      <c r="H17" s="22" t="s">
        <v>49</v>
      </c>
    </row>
    <row r="18" ht="38" customHeight="1" spans="1:8" x14ac:dyDescent="0.25">
      <c r="A18" s="28" t="s">
        <v>123</v>
      </c>
      <c r="B18" s="29" t="s">
        <v>70</v>
      </c>
      <c r="C18" s="29" t="s">
        <v>124</v>
      </c>
      <c r="D18" s="29" t="s">
        <v>125</v>
      </c>
      <c r="E18" s="25" t="s">
        <v>73</v>
      </c>
      <c r="F18" s="30">
        <v>8</v>
      </c>
      <c r="G18" s="31" t="s">
        <v>122</v>
      </c>
      <c r="H18" s="22" t="s">
        <v>49</v>
      </c>
    </row>
    <row r="19" ht="38" customHeight="1" spans="1:8" x14ac:dyDescent="0.25">
      <c r="A19" s="23" t="s">
        <v>126</v>
      </c>
      <c r="B19" s="24" t="s">
        <v>70</v>
      </c>
      <c r="C19" s="24" t="s">
        <v>127</v>
      </c>
      <c r="D19" s="24" t="s">
        <v>128</v>
      </c>
      <c r="E19" s="25" t="s">
        <v>73</v>
      </c>
      <c r="F19" s="26">
        <v>8</v>
      </c>
      <c r="G19" s="27" t="s">
        <v>122</v>
      </c>
      <c r="H19" s="22" t="s">
        <v>49</v>
      </c>
    </row>
    <row r="20" ht="38" customHeight="1" spans="1:8" x14ac:dyDescent="0.25">
      <c r="A20" s="28" t="s">
        <v>129</v>
      </c>
      <c r="B20" s="29" t="s">
        <v>70</v>
      </c>
      <c r="C20" s="29" t="s">
        <v>130</v>
      </c>
      <c r="D20" s="29" t="s">
        <v>131</v>
      </c>
      <c r="E20" s="20" t="s">
        <v>111</v>
      </c>
      <c r="F20" s="30">
        <v>8</v>
      </c>
      <c r="G20" s="31" t="s">
        <v>132</v>
      </c>
      <c r="H20" s="22" t="s">
        <v>49</v>
      </c>
    </row>
    <row r="21" ht="38" customHeight="1" spans="1:8" x14ac:dyDescent="0.25">
      <c r="A21" s="23" t="s">
        <v>133</v>
      </c>
      <c r="B21" s="24" t="s">
        <v>70</v>
      </c>
      <c r="C21" s="24" t="s">
        <v>134</v>
      </c>
      <c r="D21" s="24" t="s">
        <v>135</v>
      </c>
      <c r="E21" s="25" t="s">
        <v>73</v>
      </c>
      <c r="F21" s="26">
        <v>13</v>
      </c>
      <c r="G21" s="27" t="s">
        <v>132</v>
      </c>
      <c r="H21" s="22" t="s">
        <v>49</v>
      </c>
    </row>
    <row r="22" ht="38" customHeight="1" spans="1:8" x14ac:dyDescent="0.25">
      <c r="A22" s="28" t="s">
        <v>136</v>
      </c>
      <c r="B22" s="29" t="s">
        <v>70</v>
      </c>
      <c r="C22" s="29" t="s">
        <v>137</v>
      </c>
      <c r="D22" s="29" t="s">
        <v>138</v>
      </c>
      <c r="E22" s="20" t="s">
        <v>111</v>
      </c>
      <c r="F22" s="30">
        <v>13</v>
      </c>
      <c r="G22" s="31" t="s">
        <v>139</v>
      </c>
      <c r="H22" s="22" t="s">
        <v>49</v>
      </c>
    </row>
    <row r="23" ht="38" customHeight="1" spans="1:8" x14ac:dyDescent="0.25">
      <c r="A23" s="23" t="s">
        <v>140</v>
      </c>
      <c r="B23" s="24" t="s">
        <v>70</v>
      </c>
      <c r="C23" s="24" t="s">
        <v>141</v>
      </c>
      <c r="D23" s="24" t="s">
        <v>142</v>
      </c>
      <c r="E23" s="20" t="s">
        <v>111</v>
      </c>
      <c r="F23" s="26">
        <v>13</v>
      </c>
      <c r="G23" s="27" t="s">
        <v>139</v>
      </c>
      <c r="H23" s="22" t="s">
        <v>49</v>
      </c>
    </row>
    <row r="24" ht="38" customHeight="1" spans="1:8" x14ac:dyDescent="0.25">
      <c r="A24" s="28" t="s">
        <v>143</v>
      </c>
      <c r="B24" s="29" t="s">
        <v>70</v>
      </c>
      <c r="C24" s="29" t="s">
        <v>144</v>
      </c>
      <c r="D24" s="29" t="s">
        <v>145</v>
      </c>
      <c r="E24" s="20" t="s">
        <v>111</v>
      </c>
      <c r="F24" s="30">
        <v>13</v>
      </c>
      <c r="G24" s="31" t="s">
        <v>146</v>
      </c>
      <c r="H24" s="22" t="s">
        <v>49</v>
      </c>
    </row>
    <row r="25" ht="38" customHeight="1" spans="1:8" x14ac:dyDescent="0.25">
      <c r="A25" s="23" t="s">
        <v>147</v>
      </c>
      <c r="B25" s="24" t="s">
        <v>148</v>
      </c>
      <c r="C25" s="24" t="s">
        <v>149</v>
      </c>
      <c r="D25" s="24" t="s">
        <v>150</v>
      </c>
      <c r="E25" s="25" t="s">
        <v>73</v>
      </c>
      <c r="F25" s="26">
        <v>21</v>
      </c>
      <c r="G25" s="27" t="s">
        <v>151</v>
      </c>
      <c r="H25" s="22" t="s">
        <v>49</v>
      </c>
    </row>
    <row r="26" ht="38" customHeight="1" spans="1:8" x14ac:dyDescent="0.25">
      <c r="A26" s="28" t="s">
        <v>152</v>
      </c>
      <c r="B26" s="29" t="s">
        <v>148</v>
      </c>
      <c r="C26" s="29" t="s">
        <v>153</v>
      </c>
      <c r="D26" s="29" t="s">
        <v>154</v>
      </c>
      <c r="E26" s="20" t="s">
        <v>111</v>
      </c>
      <c r="F26" s="30">
        <v>13</v>
      </c>
      <c r="G26" s="31" t="s">
        <v>151</v>
      </c>
      <c r="H26" s="22" t="s">
        <v>49</v>
      </c>
    </row>
    <row r="27" ht="38" customHeight="1" spans="1:8" x14ac:dyDescent="0.25">
      <c r="A27" s="23" t="s">
        <v>155</v>
      </c>
      <c r="B27" s="24" t="s">
        <v>156</v>
      </c>
      <c r="C27" s="24" t="s">
        <v>157</v>
      </c>
      <c r="D27" s="24" t="s">
        <v>158</v>
      </c>
      <c r="E27" s="25" t="s">
        <v>73</v>
      </c>
      <c r="F27" s="26">
        <v>21</v>
      </c>
      <c r="G27" s="27" t="s">
        <v>159</v>
      </c>
      <c r="H27" s="22" t="s">
        <v>49</v>
      </c>
    </row>
    <row r="28" ht="38" customHeight="1" spans="1:8" x14ac:dyDescent="0.25">
      <c r="A28" s="28" t="s">
        <v>160</v>
      </c>
      <c r="B28" s="29" t="s">
        <v>156</v>
      </c>
      <c r="C28" s="29" t="s">
        <v>161</v>
      </c>
      <c r="D28" s="29" t="s">
        <v>162</v>
      </c>
      <c r="E28" s="20" t="s">
        <v>111</v>
      </c>
      <c r="F28" s="30">
        <v>13</v>
      </c>
      <c r="G28" s="31" t="s">
        <v>159</v>
      </c>
      <c r="H28" s="22" t="s">
        <v>49</v>
      </c>
    </row>
    <row r="29" ht="38" customHeight="1" spans="1:8" x14ac:dyDescent="0.25">
      <c r="A29" s="23" t="s">
        <v>163</v>
      </c>
      <c r="B29" s="24" t="s">
        <v>156</v>
      </c>
      <c r="C29" s="24" t="s">
        <v>164</v>
      </c>
      <c r="D29" s="24" t="s">
        <v>165</v>
      </c>
      <c r="E29" s="20" t="s">
        <v>111</v>
      </c>
      <c r="F29" s="26">
        <v>13</v>
      </c>
      <c r="G29" s="27" t="s">
        <v>166</v>
      </c>
      <c r="H29" s="22" t="s">
        <v>49</v>
      </c>
    </row>
    <row r="30" ht="38" customHeight="1" spans="1:8" x14ac:dyDescent="0.25">
      <c r="A30" s="28" t="s">
        <v>167</v>
      </c>
      <c r="B30" s="29" t="s">
        <v>168</v>
      </c>
      <c r="C30" s="29" t="s">
        <v>169</v>
      </c>
      <c r="D30" s="29" t="s">
        <v>170</v>
      </c>
      <c r="E30" s="25" t="s">
        <v>73</v>
      </c>
      <c r="F30" s="30">
        <v>13</v>
      </c>
      <c r="G30" s="31" t="s">
        <v>171</v>
      </c>
      <c r="H30" s="22" t="s">
        <v>49</v>
      </c>
    </row>
    <row r="31" ht="38" customHeight="1" spans="1:8" x14ac:dyDescent="0.25">
      <c r="A31" s="23" t="s">
        <v>172</v>
      </c>
      <c r="B31" s="24" t="s">
        <v>168</v>
      </c>
      <c r="C31" s="24" t="s">
        <v>173</v>
      </c>
      <c r="D31" s="24" t="s">
        <v>174</v>
      </c>
      <c r="E31" s="20" t="s">
        <v>111</v>
      </c>
      <c r="F31" s="26">
        <v>13</v>
      </c>
      <c r="G31" s="27" t="s">
        <v>171</v>
      </c>
      <c r="H31" s="22" t="s">
        <v>49</v>
      </c>
    </row>
    <row r="32" ht="38" customHeight="1" spans="1:8" x14ac:dyDescent="0.25">
      <c r="A32" s="28" t="s">
        <v>175</v>
      </c>
      <c r="B32" s="29" t="s">
        <v>168</v>
      </c>
      <c r="C32" s="29" t="s">
        <v>176</v>
      </c>
      <c r="D32" s="29" t="s">
        <v>177</v>
      </c>
      <c r="E32" s="25" t="s">
        <v>73</v>
      </c>
      <c r="F32" s="30">
        <v>13</v>
      </c>
      <c r="G32" s="31" t="s">
        <v>171</v>
      </c>
      <c r="H32" s="22" t="s">
        <v>49</v>
      </c>
    </row>
    <row r="33" ht="38" customHeight="1" spans="1:8" x14ac:dyDescent="0.25">
      <c r="A33" s="23" t="s">
        <v>178</v>
      </c>
      <c r="B33" s="24" t="s">
        <v>179</v>
      </c>
      <c r="C33" s="24" t="s">
        <v>180</v>
      </c>
      <c r="D33" s="24" t="s">
        <v>181</v>
      </c>
      <c r="E33" s="20" t="s">
        <v>111</v>
      </c>
      <c r="F33" s="26">
        <v>34</v>
      </c>
      <c r="G33" s="27" t="s">
        <v>182</v>
      </c>
      <c r="H33" s="22" t="s">
        <v>49</v>
      </c>
    </row>
    <row r="34" ht="38" customHeight="1" spans="1:8" x14ac:dyDescent="0.25">
      <c r="A34" s="28" t="s">
        <v>183</v>
      </c>
      <c r="B34" s="29" t="s">
        <v>184</v>
      </c>
      <c r="C34" s="29" t="s">
        <v>185</v>
      </c>
      <c r="D34" s="29" t="s">
        <v>186</v>
      </c>
      <c r="E34" s="20" t="s">
        <v>111</v>
      </c>
      <c r="F34" s="30">
        <v>21</v>
      </c>
      <c r="G34" s="31" t="s">
        <v>182</v>
      </c>
      <c r="H34" s="22" t="s">
        <v>49</v>
      </c>
    </row>
    <row r="35" ht="38" customHeight="1" spans="1:8" x14ac:dyDescent="0.25">
      <c r="A35" s="23" t="s">
        <v>187</v>
      </c>
      <c r="B35" s="24" t="s">
        <v>188</v>
      </c>
      <c r="C35" s="24" t="s">
        <v>189</v>
      </c>
      <c r="D35" s="24" t="s">
        <v>190</v>
      </c>
      <c r="E35" s="20" t="s">
        <v>111</v>
      </c>
      <c r="F35" s="26">
        <v>13</v>
      </c>
      <c r="G35" s="27" t="s">
        <v>191</v>
      </c>
      <c r="H35" s="22" t="s">
        <v>49</v>
      </c>
    </row>
    <row r="36" ht="38" customHeight="1" spans="1:8" x14ac:dyDescent="0.25">
      <c r="A36" s="28" t="s">
        <v>192</v>
      </c>
      <c r="B36" s="29" t="s">
        <v>105</v>
      </c>
      <c r="C36" s="29" t="s">
        <v>193</v>
      </c>
      <c r="D36" s="29" t="s">
        <v>194</v>
      </c>
      <c r="E36" s="20" t="s">
        <v>111</v>
      </c>
      <c r="F36" s="30">
        <v>8</v>
      </c>
      <c r="G36" s="31" t="s">
        <v>191</v>
      </c>
      <c r="H36" s="22" t="s">
        <v>49</v>
      </c>
    </row>
    <row r="37" ht="38" customHeight="1" spans="1:8" x14ac:dyDescent="0.25">
      <c r="A37" s="23" t="s">
        <v>195</v>
      </c>
      <c r="B37" s="24" t="s">
        <v>196</v>
      </c>
      <c r="C37" s="24" t="s">
        <v>197</v>
      </c>
      <c r="D37" s="24" t="s">
        <v>198</v>
      </c>
      <c r="E37" s="25" t="s">
        <v>73</v>
      </c>
      <c r="F37" s="26">
        <v>34</v>
      </c>
      <c r="G37" s="27" t="s">
        <v>199</v>
      </c>
      <c r="H37" s="22" t="s">
        <v>49</v>
      </c>
    </row>
    <row r="38" ht="24" customHeight="1" spans="5:6" x14ac:dyDescent="0.25">
      <c r="E38" s="32" t="s">
        <v>200</v>
      </c>
      <c r="F38" s="33">
        <f>SUM(F5:F37)</f>
      </c>
    </row>
  </sheetData>
  <autoFilter ref="A4:H3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F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0" customWidth="1"/>
    <col min="4" max="4" width="80" customWidth="1"/>
    <col min="5" max="5" width="10" customWidth="1"/>
    <col min="6" max="6" width="14" customWidth="1"/>
  </cols>
  <sheetData>
    <row r="1" ht="36" customHeight="1" spans="1:6" x14ac:dyDescent="0.25">
      <c r="A1" s="1" t="s">
        <v>201</v>
      </c>
      <c r="B1" s="1"/>
      <c r="C1" s="1"/>
      <c r="D1" s="1"/>
      <c r="E1" s="1"/>
      <c r="F1" s="1"/>
    </row>
    <row r="2" ht="22" customHeight="1" spans="1:6" x14ac:dyDescent="0.25">
      <c r="A2" s="2" t="s">
        <v>202</v>
      </c>
      <c r="B2" s="2"/>
      <c r="C2" s="2"/>
      <c r="D2" s="2"/>
      <c r="E2" s="2"/>
      <c r="F2" s="2"/>
    </row>
    <row r="4" ht="28" customHeight="1" spans="1:6" x14ac:dyDescent="0.25">
      <c r="A4" s="11" t="s">
        <v>68</v>
      </c>
      <c r="B4" s="11" t="s">
        <v>203</v>
      </c>
      <c r="C4" s="11" t="s">
        <v>204</v>
      </c>
      <c r="D4" s="11" t="s">
        <v>205</v>
      </c>
      <c r="E4" s="11" t="s">
        <v>206</v>
      </c>
      <c r="F4" s="11" t="s">
        <v>40</v>
      </c>
    </row>
    <row r="5" ht="48" customHeight="1" spans="1:6" x14ac:dyDescent="0.25">
      <c r="A5" s="23" t="s">
        <v>74</v>
      </c>
      <c r="B5" s="24" t="s">
        <v>207</v>
      </c>
      <c r="C5" s="24" t="s">
        <v>208</v>
      </c>
      <c r="D5" s="24" t="s">
        <v>209</v>
      </c>
      <c r="E5" s="26">
        <v>21</v>
      </c>
      <c r="F5" s="15" t="s">
        <v>44</v>
      </c>
    </row>
    <row r="6" ht="48" customHeight="1" spans="1:6" x14ac:dyDescent="0.25">
      <c r="A6" s="28" t="s">
        <v>82</v>
      </c>
      <c r="B6" s="29" t="s">
        <v>210</v>
      </c>
      <c r="C6" s="29" t="s">
        <v>211</v>
      </c>
      <c r="D6" s="29" t="s">
        <v>212</v>
      </c>
      <c r="E6" s="30">
        <v>21</v>
      </c>
      <c r="F6" s="15" t="s">
        <v>44</v>
      </c>
    </row>
    <row r="7" ht="40" customHeight="1" spans="1:6" x14ac:dyDescent="0.25">
      <c r="A7" s="23" t="s">
        <v>86</v>
      </c>
      <c r="B7" s="24" t="s">
        <v>213</v>
      </c>
      <c r="C7" s="24" t="s">
        <v>214</v>
      </c>
      <c r="D7" s="24" t="s">
        <v>215</v>
      </c>
      <c r="E7" s="26">
        <v>13</v>
      </c>
      <c r="F7" s="15" t="s">
        <v>44</v>
      </c>
    </row>
    <row r="8" ht="40" customHeight="1" spans="1:6" x14ac:dyDescent="0.25">
      <c r="A8" s="28" t="s">
        <v>90</v>
      </c>
      <c r="B8" s="29" t="s">
        <v>216</v>
      </c>
      <c r="C8" s="29" t="s">
        <v>217</v>
      </c>
      <c r="D8" s="29" t="s">
        <v>218</v>
      </c>
      <c r="E8" s="30">
        <v>13</v>
      </c>
      <c r="F8" s="15" t="s">
        <v>44</v>
      </c>
    </row>
    <row r="9" ht="40" customHeight="1" spans="1:6" x14ac:dyDescent="0.25">
      <c r="A9" s="23" t="s">
        <v>94</v>
      </c>
      <c r="B9" s="24" t="s">
        <v>219</v>
      </c>
      <c r="C9" s="24" t="s">
        <v>220</v>
      </c>
      <c r="D9" s="24" t="s">
        <v>221</v>
      </c>
      <c r="E9" s="26">
        <v>13</v>
      </c>
      <c r="F9" s="15" t="s">
        <v>44</v>
      </c>
    </row>
    <row r="10" ht="40" customHeight="1" spans="1:6" x14ac:dyDescent="0.25">
      <c r="A10" s="28" t="s">
        <v>98</v>
      </c>
      <c r="B10" s="29" t="s">
        <v>222</v>
      </c>
      <c r="C10" s="29" t="s">
        <v>113</v>
      </c>
      <c r="D10" s="29" t="s">
        <v>223</v>
      </c>
      <c r="E10" s="30">
        <v>21</v>
      </c>
      <c r="F10" s="20" t="s">
        <v>19</v>
      </c>
    </row>
    <row r="11" ht="40" customHeight="1" spans="1:6" x14ac:dyDescent="0.25">
      <c r="A11" s="23" t="s">
        <v>122</v>
      </c>
      <c r="B11" s="24" t="s">
        <v>224</v>
      </c>
      <c r="C11" s="24" t="s">
        <v>225</v>
      </c>
      <c r="D11" s="24" t="s">
        <v>226</v>
      </c>
      <c r="E11" s="26">
        <v>24</v>
      </c>
      <c r="F11" s="22" t="s">
        <v>49</v>
      </c>
    </row>
    <row r="12" ht="40" customHeight="1" spans="1:6" x14ac:dyDescent="0.25">
      <c r="A12" s="28" t="s">
        <v>132</v>
      </c>
      <c r="B12" s="29" t="s">
        <v>224</v>
      </c>
      <c r="C12" s="29" t="s">
        <v>227</v>
      </c>
      <c r="D12" s="29" t="s">
        <v>228</v>
      </c>
      <c r="E12" s="30">
        <v>21</v>
      </c>
      <c r="F12" s="22" t="s">
        <v>49</v>
      </c>
    </row>
    <row r="13" ht="40" customHeight="1" spans="1:6" x14ac:dyDescent="0.25">
      <c r="A13" s="23" t="s">
        <v>139</v>
      </c>
      <c r="B13" s="24" t="s">
        <v>224</v>
      </c>
      <c r="C13" s="24" t="s">
        <v>229</v>
      </c>
      <c r="D13" s="24" t="s">
        <v>230</v>
      </c>
      <c r="E13" s="26">
        <v>26</v>
      </c>
      <c r="F13" s="22" t="s">
        <v>49</v>
      </c>
    </row>
    <row r="14" ht="40" customHeight="1" spans="1:6" x14ac:dyDescent="0.25">
      <c r="A14" s="28" t="s">
        <v>146</v>
      </c>
      <c r="B14" s="29" t="s">
        <v>224</v>
      </c>
      <c r="C14" s="29" t="s">
        <v>231</v>
      </c>
      <c r="D14" s="29" t="s">
        <v>232</v>
      </c>
      <c r="E14" s="30">
        <v>13</v>
      </c>
      <c r="F14" s="22" t="s">
        <v>49</v>
      </c>
    </row>
    <row r="15" ht="40" customHeight="1" spans="1:6" x14ac:dyDescent="0.25">
      <c r="A15" s="23" t="s">
        <v>151</v>
      </c>
      <c r="B15" s="24" t="s">
        <v>224</v>
      </c>
      <c r="C15" s="24" t="s">
        <v>233</v>
      </c>
      <c r="D15" s="24" t="s">
        <v>234</v>
      </c>
      <c r="E15" s="26">
        <v>34</v>
      </c>
      <c r="F15" s="22" t="s">
        <v>49</v>
      </c>
    </row>
    <row r="16" ht="40" customHeight="1" spans="1:6" x14ac:dyDescent="0.25">
      <c r="A16" s="28" t="s">
        <v>159</v>
      </c>
      <c r="B16" s="29" t="s">
        <v>224</v>
      </c>
      <c r="C16" s="29" t="s">
        <v>235</v>
      </c>
      <c r="D16" s="29" t="s">
        <v>236</v>
      </c>
      <c r="E16" s="30">
        <v>34</v>
      </c>
      <c r="F16" s="22" t="s">
        <v>49</v>
      </c>
    </row>
    <row r="17" ht="40" customHeight="1" spans="1:6" x14ac:dyDescent="0.25">
      <c r="A17" s="23" t="s">
        <v>166</v>
      </c>
      <c r="B17" s="24" t="s">
        <v>224</v>
      </c>
      <c r="C17" s="24" t="s">
        <v>237</v>
      </c>
      <c r="D17" s="24" t="s">
        <v>238</v>
      </c>
      <c r="E17" s="26">
        <v>13</v>
      </c>
      <c r="F17" s="22" t="s">
        <v>49</v>
      </c>
    </row>
    <row r="18" ht="40" customHeight="1" spans="1:6" x14ac:dyDescent="0.25">
      <c r="A18" s="28" t="s">
        <v>171</v>
      </c>
      <c r="B18" s="29" t="s">
        <v>224</v>
      </c>
      <c r="C18" s="29" t="s">
        <v>168</v>
      </c>
      <c r="D18" s="29" t="s">
        <v>239</v>
      </c>
      <c r="E18" s="30">
        <v>47</v>
      </c>
      <c r="F18" s="22" t="s">
        <v>49</v>
      </c>
    </row>
    <row r="19" ht="64" customHeight="1" spans="1:6" x14ac:dyDescent="0.25">
      <c r="A19" s="23" t="s">
        <v>182</v>
      </c>
      <c r="B19" s="24" t="s">
        <v>224</v>
      </c>
      <c r="C19" s="24" t="s">
        <v>240</v>
      </c>
      <c r="D19" s="24" t="s">
        <v>241</v>
      </c>
      <c r="E19" s="26">
        <v>55</v>
      </c>
      <c r="F19" s="22" t="s">
        <v>49</v>
      </c>
    </row>
    <row r="20" ht="40" customHeight="1" spans="1:6" x14ac:dyDescent="0.25">
      <c r="A20" s="28" t="s">
        <v>191</v>
      </c>
      <c r="B20" s="29" t="s">
        <v>224</v>
      </c>
      <c r="C20" s="29" t="s">
        <v>242</v>
      </c>
      <c r="D20" s="29" t="s">
        <v>243</v>
      </c>
      <c r="E20" s="30">
        <v>21</v>
      </c>
      <c r="F20" s="22" t="s">
        <v>49</v>
      </c>
    </row>
    <row r="21" ht="40" customHeight="1" spans="1:6" x14ac:dyDescent="0.25">
      <c r="A21" s="23" t="s">
        <v>244</v>
      </c>
      <c r="B21" s="24" t="s">
        <v>224</v>
      </c>
      <c r="C21" s="24" t="s">
        <v>245</v>
      </c>
      <c r="D21" s="24" t="s">
        <v>246</v>
      </c>
      <c r="E21" s="26">
        <v>21</v>
      </c>
      <c r="F21" s="22" t="s">
        <v>49</v>
      </c>
    </row>
    <row r="22" ht="40" customHeight="1" spans="1:6" x14ac:dyDescent="0.25">
      <c r="A22" s="28" t="s">
        <v>247</v>
      </c>
      <c r="B22" s="29" t="s">
        <v>224</v>
      </c>
      <c r="C22" s="29" t="s">
        <v>248</v>
      </c>
      <c r="D22" s="29" t="s">
        <v>249</v>
      </c>
      <c r="E22" s="30">
        <v>21</v>
      </c>
      <c r="F22" s="22" t="s">
        <v>49</v>
      </c>
    </row>
    <row r="23" spans="4:5" x14ac:dyDescent="0.25">
      <c r="D23" s="32" t="s">
        <v>250</v>
      </c>
      <c r="E23" s="33">
        <f>SUM(E5:E22)</f>
      </c>
    </row>
  </sheetData>
  <autoFilter ref="A4:F22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1C1C"/>
  </sheetPr>
  <dimension ref="A1:H1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8" customWidth="1"/>
    <col min="3" max="3" width="12" customWidth="1"/>
    <col min="4" max="4" width="10" customWidth="1"/>
    <col min="5" max="5" width="11" customWidth="1"/>
    <col min="6" max="6" width="60" customWidth="1"/>
    <col min="7" max="7" width="12" customWidth="1"/>
    <col min="8" max="8" width="14" customWidth="1"/>
  </cols>
  <sheetData>
    <row r="1" ht="36" customHeight="1" spans="1:8" x14ac:dyDescent="0.25">
      <c r="A1" s="1" t="s">
        <v>251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252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11" t="s">
        <v>62</v>
      </c>
      <c r="B4" s="11" t="s">
        <v>253</v>
      </c>
      <c r="C4" s="11" t="s">
        <v>254</v>
      </c>
      <c r="D4" s="11" t="s">
        <v>255</v>
      </c>
      <c r="E4" s="11" t="s">
        <v>256</v>
      </c>
      <c r="F4" s="11" t="s">
        <v>257</v>
      </c>
      <c r="G4" s="11" t="s">
        <v>37</v>
      </c>
      <c r="H4" s="11" t="s">
        <v>40</v>
      </c>
    </row>
    <row r="5" ht="48" customHeight="1" spans="1:8" x14ac:dyDescent="0.25">
      <c r="A5" s="34" t="s">
        <v>258</v>
      </c>
      <c r="B5" s="24" t="s">
        <v>259</v>
      </c>
      <c r="C5" s="25" t="s">
        <v>260</v>
      </c>
      <c r="D5" s="25" t="s">
        <v>260</v>
      </c>
      <c r="E5" s="25" t="s">
        <v>260</v>
      </c>
      <c r="F5" s="24" t="s">
        <v>261</v>
      </c>
      <c r="G5" s="27" t="s">
        <v>5</v>
      </c>
      <c r="H5" s="20" t="s">
        <v>262</v>
      </c>
    </row>
    <row r="6" ht="46" customHeight="1" spans="1:8" x14ac:dyDescent="0.25">
      <c r="A6" s="35" t="s">
        <v>263</v>
      </c>
      <c r="B6" s="29" t="s">
        <v>264</v>
      </c>
      <c r="C6" s="20" t="s">
        <v>265</v>
      </c>
      <c r="D6" s="25" t="s">
        <v>260</v>
      </c>
      <c r="E6" s="25" t="s">
        <v>260</v>
      </c>
      <c r="F6" s="29" t="s">
        <v>266</v>
      </c>
      <c r="G6" s="31" t="s">
        <v>5</v>
      </c>
      <c r="H6" s="20" t="s">
        <v>262</v>
      </c>
    </row>
    <row r="7" ht="46" customHeight="1" spans="1:8" x14ac:dyDescent="0.25">
      <c r="A7" s="34" t="s">
        <v>267</v>
      </c>
      <c r="B7" s="24" t="s">
        <v>268</v>
      </c>
      <c r="C7" s="25" t="s">
        <v>260</v>
      </c>
      <c r="D7" s="20" t="s">
        <v>265</v>
      </c>
      <c r="E7" s="25" t="s">
        <v>260</v>
      </c>
      <c r="F7" s="24" t="s">
        <v>269</v>
      </c>
      <c r="G7" s="27" t="s">
        <v>5</v>
      </c>
      <c r="H7" s="20" t="s">
        <v>262</v>
      </c>
    </row>
    <row r="8" ht="48" customHeight="1" spans="1:8" x14ac:dyDescent="0.25">
      <c r="A8" s="35" t="s">
        <v>270</v>
      </c>
      <c r="B8" s="29" t="s">
        <v>271</v>
      </c>
      <c r="C8" s="20" t="s">
        <v>265</v>
      </c>
      <c r="D8" s="20" t="s">
        <v>265</v>
      </c>
      <c r="E8" s="20" t="s">
        <v>265</v>
      </c>
      <c r="F8" s="29" t="s">
        <v>272</v>
      </c>
      <c r="G8" s="31" t="s">
        <v>5</v>
      </c>
      <c r="H8" s="20" t="s">
        <v>262</v>
      </c>
    </row>
    <row r="9" ht="46" customHeight="1" spans="1:8" x14ac:dyDescent="0.25">
      <c r="A9" s="34" t="s">
        <v>273</v>
      </c>
      <c r="B9" s="24" t="s">
        <v>274</v>
      </c>
      <c r="C9" s="15" t="s">
        <v>275</v>
      </c>
      <c r="D9" s="25" t="s">
        <v>260</v>
      </c>
      <c r="E9" s="20" t="s">
        <v>265</v>
      </c>
      <c r="F9" s="24" t="s">
        <v>276</v>
      </c>
      <c r="G9" s="27" t="s">
        <v>5</v>
      </c>
      <c r="H9" s="15" t="s">
        <v>277</v>
      </c>
    </row>
    <row r="10" ht="48" customHeight="1" spans="1:8" x14ac:dyDescent="0.25">
      <c r="A10" s="35" t="s">
        <v>278</v>
      </c>
      <c r="B10" s="29" t="s">
        <v>279</v>
      </c>
      <c r="C10" s="20" t="s">
        <v>265</v>
      </c>
      <c r="D10" s="20" t="s">
        <v>265</v>
      </c>
      <c r="E10" s="20" t="s">
        <v>265</v>
      </c>
      <c r="F10" s="29" t="s">
        <v>280</v>
      </c>
      <c r="G10" s="31" t="s">
        <v>5</v>
      </c>
      <c r="H10" s="22" t="s">
        <v>49</v>
      </c>
    </row>
    <row r="11" ht="46" customHeight="1" spans="1:8" x14ac:dyDescent="0.25">
      <c r="A11" s="34" t="s">
        <v>281</v>
      </c>
      <c r="B11" s="24" t="s">
        <v>282</v>
      </c>
      <c r="C11" s="20" t="s">
        <v>265</v>
      </c>
      <c r="D11" s="15" t="s">
        <v>275</v>
      </c>
      <c r="E11" s="15" t="s">
        <v>275</v>
      </c>
      <c r="F11" s="24" t="s">
        <v>283</v>
      </c>
      <c r="G11" s="27" t="s">
        <v>5</v>
      </c>
      <c r="H11" s="36" t="s">
        <v>284</v>
      </c>
    </row>
  </sheetData>
  <autoFilter ref="A4:H1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G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42" customWidth="1"/>
    <col min="4" max="4" width="50" customWidth="1"/>
    <col min="5" max="5" width="60" customWidth="1"/>
    <col min="6" max="7" width="12" customWidth="1"/>
  </cols>
  <sheetData>
    <row r="1" ht="36" customHeight="1" spans="1:7" x14ac:dyDescent="0.25">
      <c r="A1" s="1" t="s">
        <v>285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286</v>
      </c>
      <c r="B2" s="2"/>
      <c r="C2" s="2"/>
      <c r="D2" s="2"/>
      <c r="E2" s="2"/>
      <c r="F2" s="2"/>
      <c r="G2" s="2"/>
    </row>
    <row r="4" ht="28" customHeight="1" spans="1:7" x14ac:dyDescent="0.25">
      <c r="A4" s="11" t="s">
        <v>62</v>
      </c>
      <c r="B4" s="11" t="s">
        <v>287</v>
      </c>
      <c r="C4" s="11" t="s">
        <v>288</v>
      </c>
      <c r="D4" s="11" t="s">
        <v>289</v>
      </c>
      <c r="E4" s="11" t="s">
        <v>290</v>
      </c>
      <c r="F4" s="11" t="s">
        <v>37</v>
      </c>
      <c r="G4" s="11" t="s">
        <v>40</v>
      </c>
    </row>
    <row r="5" ht="40" customHeight="1" spans="1:7" x14ac:dyDescent="0.25">
      <c r="A5" s="37" t="s">
        <v>291</v>
      </c>
      <c r="B5" s="38">
        <v>46156.77083333333</v>
      </c>
      <c r="C5" s="24" t="s">
        <v>292</v>
      </c>
      <c r="D5" s="24" t="s">
        <v>293</v>
      </c>
      <c r="E5" s="24" t="s">
        <v>294</v>
      </c>
      <c r="F5" s="39" t="s">
        <v>5</v>
      </c>
      <c r="G5" s="15" t="s">
        <v>295</v>
      </c>
    </row>
    <row r="6" ht="40" customHeight="1" spans="1:7" x14ac:dyDescent="0.25">
      <c r="A6" s="40" t="s">
        <v>296</v>
      </c>
      <c r="B6" s="41">
        <v>46161.77083333333</v>
      </c>
      <c r="C6" s="29" t="s">
        <v>297</v>
      </c>
      <c r="D6" s="29" t="s">
        <v>298</v>
      </c>
      <c r="E6" s="29" t="s">
        <v>299</v>
      </c>
      <c r="F6" s="42" t="s">
        <v>5</v>
      </c>
      <c r="G6" s="15" t="s">
        <v>295</v>
      </c>
    </row>
    <row r="7" ht="40" customHeight="1" spans="1:7" x14ac:dyDescent="0.25">
      <c r="A7" s="37" t="s">
        <v>300</v>
      </c>
      <c r="B7" s="38">
        <v>46159.77083333333</v>
      </c>
      <c r="C7" s="24" t="s">
        <v>301</v>
      </c>
      <c r="D7" s="24" t="s">
        <v>302</v>
      </c>
      <c r="E7" s="24" t="s">
        <v>303</v>
      </c>
      <c r="F7" s="39" t="s">
        <v>5</v>
      </c>
      <c r="G7" s="15" t="s">
        <v>295</v>
      </c>
    </row>
    <row r="8" ht="40" customHeight="1" spans="1:7" x14ac:dyDescent="0.25">
      <c r="A8" s="40" t="s">
        <v>304</v>
      </c>
      <c r="B8" s="41">
        <v>46158.77083333333</v>
      </c>
      <c r="C8" s="29" t="s">
        <v>305</v>
      </c>
      <c r="D8" s="29" t="s">
        <v>306</v>
      </c>
      <c r="E8" s="29" t="s">
        <v>307</v>
      </c>
      <c r="F8" s="42" t="s">
        <v>5</v>
      </c>
      <c r="G8" s="15" t="s">
        <v>295</v>
      </c>
    </row>
    <row r="9" ht="40" customHeight="1" spans="1:7" x14ac:dyDescent="0.25">
      <c r="A9" s="37" t="s">
        <v>308</v>
      </c>
      <c r="B9" s="38">
        <v>46157.77083333333</v>
      </c>
      <c r="C9" s="24" t="s">
        <v>309</v>
      </c>
      <c r="D9" s="24" t="s">
        <v>310</v>
      </c>
      <c r="E9" s="24" t="s">
        <v>311</v>
      </c>
      <c r="F9" s="39" t="s">
        <v>5</v>
      </c>
      <c r="G9" s="15" t="s">
        <v>295</v>
      </c>
    </row>
    <row r="10" ht="40" customHeight="1" spans="1:7" x14ac:dyDescent="0.25">
      <c r="A10" s="40" t="s">
        <v>312</v>
      </c>
      <c r="B10" s="41">
        <v>46162.77083333333</v>
      </c>
      <c r="C10" s="29" t="s">
        <v>313</v>
      </c>
      <c r="D10" s="29" t="s">
        <v>314</v>
      </c>
      <c r="E10" s="29" t="s">
        <v>315</v>
      </c>
      <c r="F10" s="42" t="s">
        <v>5</v>
      </c>
      <c r="G10" s="20" t="s">
        <v>316</v>
      </c>
    </row>
  </sheetData>
  <autoFilter ref="A4:G10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F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8" customWidth="1"/>
    <col min="4" max="5" width="60" customWidth="1"/>
    <col min="6" max="6" width="14" customWidth="1"/>
  </cols>
  <sheetData>
    <row r="1" ht="36" customHeight="1" spans="1:6" x14ac:dyDescent="0.25">
      <c r="A1" s="1" t="s">
        <v>317</v>
      </c>
      <c r="B1" s="1"/>
      <c r="C1" s="1"/>
      <c r="D1" s="1"/>
      <c r="E1" s="1"/>
      <c r="F1" s="1"/>
    </row>
    <row r="2" ht="22" customHeight="1" spans="1:6" x14ac:dyDescent="0.25">
      <c r="A2" s="2" t="s">
        <v>318</v>
      </c>
      <c r="B2" s="2"/>
      <c r="C2" s="2"/>
      <c r="D2" s="2"/>
      <c r="E2" s="2"/>
      <c r="F2" s="2"/>
    </row>
    <row r="4" ht="28" customHeight="1" spans="1:6" x14ac:dyDescent="0.25">
      <c r="A4" s="11" t="s">
        <v>62</v>
      </c>
      <c r="B4" s="11" t="s">
        <v>287</v>
      </c>
      <c r="C4" s="11" t="s">
        <v>319</v>
      </c>
      <c r="D4" s="11" t="s">
        <v>320</v>
      </c>
      <c r="E4" s="11" t="s">
        <v>321</v>
      </c>
      <c r="F4" s="11" t="s">
        <v>40</v>
      </c>
    </row>
    <row r="5" ht="60" customHeight="1" spans="1:6" x14ac:dyDescent="0.25">
      <c r="A5" s="43" t="s">
        <v>322</v>
      </c>
      <c r="B5" s="44">
        <v>46142.77083333333</v>
      </c>
      <c r="C5" s="45" t="s">
        <v>323</v>
      </c>
      <c r="D5" s="24" t="s">
        <v>324</v>
      </c>
      <c r="E5" s="24" t="s">
        <v>325</v>
      </c>
      <c r="F5" s="15" t="s">
        <v>284</v>
      </c>
    </row>
    <row r="6" ht="60" customHeight="1" spans="1:6" x14ac:dyDescent="0.25">
      <c r="A6" s="46" t="s">
        <v>326</v>
      </c>
      <c r="B6" s="47">
        <v>46144.77083333333</v>
      </c>
      <c r="C6" s="48" t="s">
        <v>327</v>
      </c>
      <c r="D6" s="29" t="s">
        <v>328</v>
      </c>
      <c r="E6" s="29" t="s">
        <v>329</v>
      </c>
      <c r="F6" s="15" t="s">
        <v>284</v>
      </c>
    </row>
    <row r="7" ht="60" customHeight="1" spans="1:6" x14ac:dyDescent="0.25">
      <c r="A7" s="43" t="s">
        <v>330</v>
      </c>
      <c r="B7" s="44">
        <v>46146.77083333333</v>
      </c>
      <c r="C7" s="45" t="s">
        <v>331</v>
      </c>
      <c r="D7" s="24" t="s">
        <v>332</v>
      </c>
      <c r="E7" s="24" t="s">
        <v>333</v>
      </c>
      <c r="F7" s="15" t="s">
        <v>284</v>
      </c>
    </row>
    <row r="8" ht="60" customHeight="1" spans="1:6" x14ac:dyDescent="0.25">
      <c r="A8" s="46" t="s">
        <v>334</v>
      </c>
      <c r="B8" s="47">
        <v>46149.77083333333</v>
      </c>
      <c r="C8" s="48" t="s">
        <v>335</v>
      </c>
      <c r="D8" s="29" t="s">
        <v>336</v>
      </c>
      <c r="E8" s="29" t="s">
        <v>337</v>
      </c>
      <c r="F8" s="15" t="s">
        <v>284</v>
      </c>
    </row>
    <row r="9" ht="60" customHeight="1" spans="1:6" x14ac:dyDescent="0.25">
      <c r="A9" s="43" t="s">
        <v>338</v>
      </c>
      <c r="B9" s="44">
        <v>46153.77083333333</v>
      </c>
      <c r="C9" s="45" t="s">
        <v>339</v>
      </c>
      <c r="D9" s="24" t="s">
        <v>340</v>
      </c>
      <c r="E9" s="24" t="s">
        <v>341</v>
      </c>
      <c r="F9" s="15" t="s">
        <v>284</v>
      </c>
    </row>
    <row r="10" ht="60" customHeight="1" spans="1:6" x14ac:dyDescent="0.25">
      <c r="A10" s="46" t="s">
        <v>342</v>
      </c>
      <c r="B10" s="47">
        <v>46156.77083333333</v>
      </c>
      <c r="C10" s="48" t="s">
        <v>343</v>
      </c>
      <c r="D10" s="29" t="s">
        <v>344</v>
      </c>
      <c r="E10" s="29" t="s">
        <v>345</v>
      </c>
      <c r="F10" s="15" t="s">
        <v>284</v>
      </c>
    </row>
    <row r="11" ht="60" customHeight="1" spans="1:6" x14ac:dyDescent="0.25">
      <c r="A11" s="43" t="s">
        <v>346</v>
      </c>
      <c r="B11" s="44">
        <v>46159.77083333333</v>
      </c>
      <c r="C11" s="45" t="s">
        <v>347</v>
      </c>
      <c r="D11" s="24" t="s">
        <v>348</v>
      </c>
      <c r="E11" s="24" t="s">
        <v>349</v>
      </c>
      <c r="F11" s="15" t="s">
        <v>284</v>
      </c>
    </row>
    <row r="12" ht="60" customHeight="1" spans="1:6" x14ac:dyDescent="0.25">
      <c r="A12" s="46" t="s">
        <v>350</v>
      </c>
      <c r="B12" s="47">
        <v>46161.77083333333</v>
      </c>
      <c r="C12" s="48" t="s">
        <v>351</v>
      </c>
      <c r="D12" s="29" t="s">
        <v>352</v>
      </c>
      <c r="E12" s="29" t="s">
        <v>353</v>
      </c>
      <c r="F12" s="20" t="s">
        <v>354</v>
      </c>
    </row>
    <row r="13" ht="60" customHeight="1" spans="1:6" x14ac:dyDescent="0.25">
      <c r="A13" s="43" t="s">
        <v>355</v>
      </c>
      <c r="B13" s="44">
        <v>46162.77083333333</v>
      </c>
      <c r="C13" s="45" t="s">
        <v>356</v>
      </c>
      <c r="D13" s="24" t="s">
        <v>357</v>
      </c>
      <c r="E13" s="24" t="s">
        <v>358</v>
      </c>
      <c r="F13" s="20" t="s">
        <v>354</v>
      </c>
    </row>
    <row r="14" ht="60" customHeight="1" spans="1:6" x14ac:dyDescent="0.25">
      <c r="A14" s="46" t="s">
        <v>359</v>
      </c>
      <c r="B14" s="47">
        <v>46163.77083333333</v>
      </c>
      <c r="C14" s="48" t="s">
        <v>360</v>
      </c>
      <c r="D14" s="29" t="s">
        <v>361</v>
      </c>
      <c r="E14" s="29" t="s">
        <v>362</v>
      </c>
      <c r="F14" s="20" t="s">
        <v>354</v>
      </c>
    </row>
  </sheetData>
  <autoFilter ref="A4:F14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F4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0" customWidth="1"/>
    <col min="3" max="3" width="60" customWidth="1"/>
    <col min="4" max="4" width="32" customWidth="1"/>
    <col min="5" max="5" width="60" customWidth="1"/>
    <col min="6" max="6" width="14" customWidth="1"/>
  </cols>
  <sheetData>
    <row r="1" ht="36" customHeight="1" spans="1:6" x14ac:dyDescent="0.25">
      <c r="A1" s="1" t="s">
        <v>363</v>
      </c>
      <c r="B1" s="1"/>
      <c r="C1" s="1"/>
      <c r="D1" s="1"/>
      <c r="E1" s="1"/>
      <c r="F1" s="1"/>
    </row>
    <row r="2" ht="22" customHeight="1" spans="1:6" x14ac:dyDescent="0.25">
      <c r="A2" s="2" t="s">
        <v>364</v>
      </c>
      <c r="B2" s="2"/>
      <c r="C2" s="2"/>
      <c r="D2" s="2"/>
      <c r="E2" s="2"/>
      <c r="F2" s="2"/>
    </row>
    <row r="4" ht="28" customHeight="1" spans="1:6" x14ac:dyDescent="0.25">
      <c r="A4" s="11" t="s">
        <v>365</v>
      </c>
      <c r="B4" s="11" t="s">
        <v>366</v>
      </c>
      <c r="C4" s="11" t="s">
        <v>367</v>
      </c>
      <c r="D4" s="11" t="s">
        <v>368</v>
      </c>
      <c r="E4" s="11" t="s">
        <v>369</v>
      </c>
      <c r="F4" s="11" t="s">
        <v>40</v>
      </c>
    </row>
    <row r="5" ht="64" customHeight="1" spans="1:6" x14ac:dyDescent="0.25">
      <c r="A5" s="49">
        <v>1</v>
      </c>
      <c r="B5" s="50" t="s">
        <v>370</v>
      </c>
      <c r="C5" s="24" t="s">
        <v>371</v>
      </c>
      <c r="D5" s="24" t="s">
        <v>372</v>
      </c>
      <c r="E5" s="24" t="s">
        <v>373</v>
      </c>
      <c r="F5" s="15" t="s">
        <v>44</v>
      </c>
    </row>
    <row r="6" ht="64" customHeight="1" spans="1:6" x14ac:dyDescent="0.25">
      <c r="A6" s="51">
        <v>2</v>
      </c>
      <c r="B6" s="52" t="s">
        <v>374</v>
      </c>
      <c r="C6" s="29" t="s">
        <v>375</v>
      </c>
      <c r="D6" s="29" t="s">
        <v>376</v>
      </c>
      <c r="E6" s="29" t="s">
        <v>377</v>
      </c>
      <c r="F6" s="15" t="s">
        <v>44</v>
      </c>
    </row>
    <row r="7" ht="64" customHeight="1" spans="1:6" x14ac:dyDescent="0.25">
      <c r="A7" s="49">
        <v>3</v>
      </c>
      <c r="B7" s="50" t="s">
        <v>378</v>
      </c>
      <c r="C7" s="24" t="s">
        <v>379</v>
      </c>
      <c r="D7" s="24" t="s">
        <v>380</v>
      </c>
      <c r="E7" s="24" t="s">
        <v>381</v>
      </c>
      <c r="F7" s="15" t="s">
        <v>44</v>
      </c>
    </row>
    <row r="8" ht="96" customHeight="1" spans="1:6" x14ac:dyDescent="0.25">
      <c r="A8" s="51">
        <v>4</v>
      </c>
      <c r="B8" s="52" t="s">
        <v>382</v>
      </c>
      <c r="C8" s="29" t="s">
        <v>383</v>
      </c>
      <c r="D8" s="29" t="s">
        <v>384</v>
      </c>
      <c r="E8" s="29" t="s">
        <v>385</v>
      </c>
      <c r="F8" s="22" t="s">
        <v>49</v>
      </c>
    </row>
    <row r="9" ht="96" customHeight="1" spans="1:6" x14ac:dyDescent="0.25">
      <c r="A9" s="49">
        <v>5</v>
      </c>
      <c r="B9" s="50" t="s">
        <v>386</v>
      </c>
      <c r="C9" s="24" t="s">
        <v>387</v>
      </c>
      <c r="D9" s="24" t="s">
        <v>388</v>
      </c>
      <c r="E9" s="24" t="s">
        <v>389</v>
      </c>
      <c r="F9" s="22" t="s">
        <v>49</v>
      </c>
    </row>
    <row r="10" ht="96" customHeight="1" spans="1:6" x14ac:dyDescent="0.25">
      <c r="A10" s="51">
        <v>6</v>
      </c>
      <c r="B10" s="52" t="s">
        <v>390</v>
      </c>
      <c r="C10" s="29" t="s">
        <v>391</v>
      </c>
      <c r="D10" s="29" t="s">
        <v>392</v>
      </c>
      <c r="E10" s="29" t="s">
        <v>393</v>
      </c>
      <c r="F10" s="22" t="s">
        <v>49</v>
      </c>
    </row>
    <row r="11" ht="96" customHeight="1" spans="1:6" x14ac:dyDescent="0.25">
      <c r="A11" s="49">
        <v>7</v>
      </c>
      <c r="B11" s="50" t="s">
        <v>394</v>
      </c>
      <c r="C11" s="24" t="s">
        <v>395</v>
      </c>
      <c r="D11" s="24" t="s">
        <v>396</v>
      </c>
      <c r="E11" s="24" t="s">
        <v>397</v>
      </c>
      <c r="F11" s="20" t="s">
        <v>19</v>
      </c>
    </row>
    <row r="12" ht="96" customHeight="1" spans="1:6" x14ac:dyDescent="0.25">
      <c r="A12" s="51">
        <v>8</v>
      </c>
      <c r="B12" s="52" t="s">
        <v>398</v>
      </c>
      <c r="C12" s="29" t="s">
        <v>399</v>
      </c>
      <c r="D12" s="29" t="s">
        <v>400</v>
      </c>
      <c r="E12" s="29" t="s">
        <v>401</v>
      </c>
      <c r="F12" s="22" t="s">
        <v>49</v>
      </c>
    </row>
    <row r="13" ht="64" customHeight="1" spans="1:6" x14ac:dyDescent="0.25">
      <c r="A13" s="49">
        <v>9</v>
      </c>
      <c r="B13" s="50" t="s">
        <v>402</v>
      </c>
      <c r="C13" s="24" t="s">
        <v>403</v>
      </c>
      <c r="D13" s="24" t="s">
        <v>404</v>
      </c>
      <c r="E13" s="24" t="s">
        <v>405</v>
      </c>
      <c r="F13" s="20" t="s">
        <v>19</v>
      </c>
    </row>
    <row r="14" ht="56" customHeight="1" spans="1:6" x14ac:dyDescent="0.25">
      <c r="A14" s="51">
        <v>10</v>
      </c>
      <c r="B14" s="52" t="s">
        <v>406</v>
      </c>
      <c r="C14" s="29" t="s">
        <v>407</v>
      </c>
      <c r="D14" s="29" t="s">
        <v>408</v>
      </c>
      <c r="E14" s="29" t="s">
        <v>409</v>
      </c>
      <c r="F14" s="22" t="s">
        <v>49</v>
      </c>
    </row>
    <row r="15" ht="80" customHeight="1" spans="1:6" x14ac:dyDescent="0.25">
      <c r="A15" s="49">
        <v>11</v>
      </c>
      <c r="B15" s="50" t="s">
        <v>410</v>
      </c>
      <c r="C15" s="24" t="s">
        <v>411</v>
      </c>
      <c r="D15" s="24" t="s">
        <v>412</v>
      </c>
      <c r="E15" s="24" t="s">
        <v>413</v>
      </c>
      <c r="F15" s="15" t="s">
        <v>44</v>
      </c>
    </row>
    <row r="16" ht="56" customHeight="1" spans="1:6" x14ac:dyDescent="0.25">
      <c r="A16" s="51">
        <v>12</v>
      </c>
      <c r="B16" s="52" t="s">
        <v>414</v>
      </c>
      <c r="C16" s="29" t="s">
        <v>415</v>
      </c>
      <c r="D16" s="29" t="s">
        <v>416</v>
      </c>
      <c r="E16" s="29" t="s">
        <v>417</v>
      </c>
      <c r="F16" s="15" t="s">
        <v>44</v>
      </c>
    </row>
    <row r="17" ht="56" customHeight="1" spans="1:6" x14ac:dyDescent="0.25">
      <c r="A17" s="49">
        <v>13</v>
      </c>
      <c r="B17" s="50" t="s">
        <v>418</v>
      </c>
      <c r="C17" s="24" t="s">
        <v>419</v>
      </c>
      <c r="D17" s="24" t="s">
        <v>420</v>
      </c>
      <c r="E17" s="24" t="s">
        <v>421</v>
      </c>
      <c r="F17" s="22" t="s">
        <v>49</v>
      </c>
    </row>
    <row r="18" ht="64" customHeight="1" spans="1:6" x14ac:dyDescent="0.25">
      <c r="A18" s="51">
        <v>14</v>
      </c>
      <c r="B18" s="52" t="s">
        <v>422</v>
      </c>
      <c r="C18" s="29" t="s">
        <v>423</v>
      </c>
      <c r="D18" s="29" t="s">
        <v>424</v>
      </c>
      <c r="E18" s="29" t="s">
        <v>425</v>
      </c>
      <c r="F18" s="22" t="s">
        <v>49</v>
      </c>
    </row>
    <row r="19" ht="80" customHeight="1" spans="1:6" x14ac:dyDescent="0.25">
      <c r="A19" s="49">
        <v>15</v>
      </c>
      <c r="B19" s="50" t="s">
        <v>426</v>
      </c>
      <c r="C19" s="24" t="s">
        <v>427</v>
      </c>
      <c r="D19" s="24" t="s">
        <v>428</v>
      </c>
      <c r="E19" s="24" t="s">
        <v>429</v>
      </c>
      <c r="F19" s="22" t="s">
        <v>49</v>
      </c>
    </row>
    <row r="20" ht="80" customHeight="1" spans="1:6" x14ac:dyDescent="0.25">
      <c r="A20" s="51">
        <v>16</v>
      </c>
      <c r="B20" s="52" t="s">
        <v>430</v>
      </c>
      <c r="C20" s="29" t="s">
        <v>431</v>
      </c>
      <c r="D20" s="29" t="s">
        <v>432</v>
      </c>
      <c r="E20" s="29" t="s">
        <v>433</v>
      </c>
      <c r="F20" s="22" t="s">
        <v>49</v>
      </c>
    </row>
    <row r="21" ht="56" customHeight="1" spans="1:6" x14ac:dyDescent="0.25">
      <c r="A21" s="49">
        <v>17</v>
      </c>
      <c r="B21" s="50" t="s">
        <v>434</v>
      </c>
      <c r="C21" s="24" t="s">
        <v>435</v>
      </c>
      <c r="D21" s="24" t="s">
        <v>436</v>
      </c>
      <c r="E21" s="24" t="s">
        <v>437</v>
      </c>
      <c r="F21" s="22" t="s">
        <v>49</v>
      </c>
    </row>
    <row r="22" ht="64" customHeight="1" spans="1:6" x14ac:dyDescent="0.25">
      <c r="A22" s="51">
        <v>18</v>
      </c>
      <c r="B22" s="52" t="s">
        <v>438</v>
      </c>
      <c r="C22" s="29" t="s">
        <v>439</v>
      </c>
      <c r="D22" s="29" t="s">
        <v>440</v>
      </c>
      <c r="E22" s="29" t="s">
        <v>441</v>
      </c>
      <c r="F22" s="22" t="s">
        <v>49</v>
      </c>
    </row>
    <row r="23" ht="64" customHeight="1" spans="1:6" x14ac:dyDescent="0.25">
      <c r="A23" s="49">
        <v>19</v>
      </c>
      <c r="B23" s="50" t="s">
        <v>442</v>
      </c>
      <c r="C23" s="24" t="s">
        <v>443</v>
      </c>
      <c r="D23" s="24" t="s">
        <v>444</v>
      </c>
      <c r="E23" s="24" t="s">
        <v>445</v>
      </c>
      <c r="F23" s="22" t="s">
        <v>49</v>
      </c>
    </row>
    <row r="24" ht="56" customHeight="1" spans="1:6" x14ac:dyDescent="0.25">
      <c r="A24" s="51">
        <v>20</v>
      </c>
      <c r="B24" s="52" t="s">
        <v>446</v>
      </c>
      <c r="C24" s="29" t="s">
        <v>447</v>
      </c>
      <c r="D24" s="29" t="s">
        <v>448</v>
      </c>
      <c r="E24" s="29" t="s">
        <v>449</v>
      </c>
      <c r="F24" s="22" t="s">
        <v>49</v>
      </c>
    </row>
    <row r="25" ht="80" customHeight="1" spans="1:6" x14ac:dyDescent="0.25">
      <c r="A25" s="49">
        <v>21</v>
      </c>
      <c r="B25" s="50" t="s">
        <v>450</v>
      </c>
      <c r="C25" s="24" t="s">
        <v>451</v>
      </c>
      <c r="D25" s="24" t="s">
        <v>452</v>
      </c>
      <c r="E25" s="24" t="s">
        <v>453</v>
      </c>
      <c r="F25" s="22" t="s">
        <v>49</v>
      </c>
    </row>
    <row r="26" ht="64" customHeight="1" spans="1:6" x14ac:dyDescent="0.25">
      <c r="A26" s="51">
        <v>22</v>
      </c>
      <c r="B26" s="52" t="s">
        <v>454</v>
      </c>
      <c r="C26" s="29" t="s">
        <v>455</v>
      </c>
      <c r="D26" s="29" t="s">
        <v>456</v>
      </c>
      <c r="E26" s="29" t="s">
        <v>457</v>
      </c>
      <c r="F26" s="22" t="s">
        <v>49</v>
      </c>
    </row>
    <row r="27" ht="64" customHeight="1" spans="1:6" x14ac:dyDescent="0.25">
      <c r="A27" s="49">
        <v>23</v>
      </c>
      <c r="B27" s="50" t="s">
        <v>458</v>
      </c>
      <c r="C27" s="24" t="s">
        <v>459</v>
      </c>
      <c r="D27" s="24" t="s">
        <v>460</v>
      </c>
      <c r="E27" s="24" t="s">
        <v>461</v>
      </c>
      <c r="F27" s="22" t="s">
        <v>49</v>
      </c>
    </row>
    <row r="28" ht="64" customHeight="1" spans="1:6" x14ac:dyDescent="0.25">
      <c r="A28" s="51">
        <v>24</v>
      </c>
      <c r="B28" s="52" t="s">
        <v>462</v>
      </c>
      <c r="C28" s="29" t="s">
        <v>463</v>
      </c>
      <c r="D28" s="29" t="s">
        <v>464</v>
      </c>
      <c r="E28" s="29" t="s">
        <v>465</v>
      </c>
      <c r="F28" s="22" t="s">
        <v>49</v>
      </c>
    </row>
    <row r="29" ht="80" customHeight="1" spans="1:6" x14ac:dyDescent="0.25">
      <c r="A29" s="49">
        <v>25</v>
      </c>
      <c r="B29" s="50" t="s">
        <v>466</v>
      </c>
      <c r="C29" s="24" t="s">
        <v>467</v>
      </c>
      <c r="D29" s="24" t="s">
        <v>468</v>
      </c>
      <c r="E29" s="24" t="s">
        <v>469</v>
      </c>
      <c r="F29" s="22" t="s">
        <v>49</v>
      </c>
    </row>
    <row r="30" ht="64" customHeight="1" spans="1:6" x14ac:dyDescent="0.25">
      <c r="A30" s="51">
        <v>26</v>
      </c>
      <c r="B30" s="52" t="s">
        <v>470</v>
      </c>
      <c r="C30" s="29" t="s">
        <v>471</v>
      </c>
      <c r="D30" s="29" t="s">
        <v>472</v>
      </c>
      <c r="E30" s="29" t="s">
        <v>473</v>
      </c>
      <c r="F30" s="22" t="s">
        <v>49</v>
      </c>
    </row>
    <row r="31" ht="56" customHeight="1" spans="1:6" x14ac:dyDescent="0.25">
      <c r="A31" s="49">
        <v>27</v>
      </c>
      <c r="B31" s="50" t="s">
        <v>474</v>
      </c>
      <c r="C31" s="24" t="s">
        <v>475</v>
      </c>
      <c r="D31" s="24" t="s">
        <v>476</v>
      </c>
      <c r="E31" s="24" t="s">
        <v>477</v>
      </c>
      <c r="F31" s="22" t="s">
        <v>49</v>
      </c>
    </row>
    <row r="32" ht="64" customHeight="1" spans="1:6" x14ac:dyDescent="0.25">
      <c r="A32" s="51">
        <v>28</v>
      </c>
      <c r="B32" s="52" t="s">
        <v>478</v>
      </c>
      <c r="C32" s="29" t="s">
        <v>479</v>
      </c>
      <c r="D32" s="29" t="s">
        <v>480</v>
      </c>
      <c r="E32" s="29" t="s">
        <v>481</v>
      </c>
      <c r="F32" s="22" t="s">
        <v>49</v>
      </c>
    </row>
    <row r="33" ht="56" customHeight="1" spans="1:6" x14ac:dyDescent="0.25">
      <c r="A33" s="49">
        <v>29</v>
      </c>
      <c r="B33" s="50" t="s">
        <v>482</v>
      </c>
      <c r="C33" s="24" t="s">
        <v>483</v>
      </c>
      <c r="D33" s="24" t="s">
        <v>484</v>
      </c>
      <c r="E33" s="24" t="s">
        <v>485</v>
      </c>
      <c r="F33" s="22" t="s">
        <v>49</v>
      </c>
    </row>
    <row r="34" ht="64" customHeight="1" spans="1:6" x14ac:dyDescent="0.25">
      <c r="A34" s="51">
        <v>30</v>
      </c>
      <c r="B34" s="52" t="s">
        <v>486</v>
      </c>
      <c r="C34" s="29" t="s">
        <v>487</v>
      </c>
      <c r="D34" s="29" t="s">
        <v>488</v>
      </c>
      <c r="E34" s="29" t="s">
        <v>489</v>
      </c>
      <c r="F34" s="15" t="s">
        <v>44</v>
      </c>
    </row>
    <row r="35" ht="56" customHeight="1" spans="1:6" x14ac:dyDescent="0.25">
      <c r="A35" s="49">
        <v>31</v>
      </c>
      <c r="B35" s="50" t="s">
        <v>490</v>
      </c>
      <c r="C35" s="24" t="s">
        <v>491</v>
      </c>
      <c r="D35" s="24" t="s">
        <v>492</v>
      </c>
      <c r="E35" s="24" t="s">
        <v>493</v>
      </c>
      <c r="F35" s="22" t="s">
        <v>49</v>
      </c>
    </row>
    <row r="36" ht="56" customHeight="1" spans="1:6" x14ac:dyDescent="0.25">
      <c r="A36" s="51">
        <v>32</v>
      </c>
      <c r="B36" s="52" t="s">
        <v>494</v>
      </c>
      <c r="C36" s="29" t="s">
        <v>495</v>
      </c>
      <c r="D36" s="29" t="s">
        <v>496</v>
      </c>
      <c r="E36" s="29" t="s">
        <v>497</v>
      </c>
      <c r="F36" s="22" t="s">
        <v>49</v>
      </c>
    </row>
    <row r="37" ht="64" customHeight="1" spans="1:6" x14ac:dyDescent="0.25">
      <c r="A37" s="49">
        <v>33</v>
      </c>
      <c r="B37" s="50" t="s">
        <v>498</v>
      </c>
      <c r="C37" s="24" t="s">
        <v>499</v>
      </c>
      <c r="D37" s="24" t="s">
        <v>500</v>
      </c>
      <c r="E37" s="24" t="s">
        <v>501</v>
      </c>
      <c r="F37" s="15" t="s">
        <v>44</v>
      </c>
    </row>
    <row r="38" ht="64" customHeight="1" spans="1:6" x14ac:dyDescent="0.25">
      <c r="A38" s="51">
        <v>34</v>
      </c>
      <c r="B38" s="52" t="s">
        <v>502</v>
      </c>
      <c r="C38" s="29" t="s">
        <v>503</v>
      </c>
      <c r="D38" s="29" t="s">
        <v>504</v>
      </c>
      <c r="E38" s="29" t="s">
        <v>505</v>
      </c>
      <c r="F38" s="15" t="s">
        <v>44</v>
      </c>
    </row>
    <row r="39" ht="64" customHeight="1" spans="1:6" x14ac:dyDescent="0.25">
      <c r="A39" s="49">
        <v>35</v>
      </c>
      <c r="B39" s="50" t="s">
        <v>506</v>
      </c>
      <c r="C39" s="24" t="s">
        <v>507</v>
      </c>
      <c r="D39" s="24" t="s">
        <v>508</v>
      </c>
      <c r="E39" s="24" t="s">
        <v>509</v>
      </c>
      <c r="F39" s="22" t="s">
        <v>49</v>
      </c>
    </row>
    <row r="40" ht="64" customHeight="1" spans="1:6" x14ac:dyDescent="0.25">
      <c r="A40" s="51">
        <v>36</v>
      </c>
      <c r="B40" s="52" t="s">
        <v>510</v>
      </c>
      <c r="C40" s="29" t="s">
        <v>511</v>
      </c>
      <c r="D40" s="29" t="s">
        <v>512</v>
      </c>
      <c r="E40" s="29" t="s">
        <v>513</v>
      </c>
      <c r="F40" s="22" t="s">
        <v>49</v>
      </c>
    </row>
    <row r="41" ht="56" customHeight="1" spans="1:6" x14ac:dyDescent="0.25">
      <c r="A41" s="49">
        <v>37</v>
      </c>
      <c r="B41" s="50" t="s">
        <v>514</v>
      </c>
      <c r="C41" s="24" t="s">
        <v>515</v>
      </c>
      <c r="D41" s="24" t="s">
        <v>516</v>
      </c>
      <c r="E41" s="24" t="s">
        <v>517</v>
      </c>
      <c r="F41" s="22" t="s">
        <v>49</v>
      </c>
    </row>
  </sheetData>
  <autoFilter ref="A4:F41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Roadmap</vt:lpstr>
      <vt:lpstr>Feature Backlog</vt:lpstr>
      <vt:lpstr>Sprint Tracker</vt:lpstr>
      <vt:lpstr>Risk Log</vt:lpstr>
      <vt:lpstr>Issue Log</vt:lpstr>
      <vt:lpstr>Decisions Log</vt:lpstr>
      <vt:lpstr>Build Sequence</vt:lpstr>
    </vt:vector>
  </TitlesOfParts>
  <Company>OrgPrism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</dc:creator>
  <dc:title>OrgPrism Project Tracker</dc:title>
  <dc:subject>PMO project tracker for OrgPrism</dc:subject>
  <dc:description/>
  <cp:keywords/>
  <cp:category/>
  <cp:lastModifiedBy>Maulik</cp:lastModifiedBy>
  <dcterms:created xsi:type="dcterms:W3CDTF">2026-04-30T18:30:00Z</dcterms:created>
  <dcterms:modified xsi:type="dcterms:W3CDTF">2026-06-03T10:37:02Z</dcterms:modified>
</cp:coreProperties>
</file>