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eatures" state="visible" r:id="rId4"/>
    <sheet sheetId="2" name="Summary" state="visible" r:id="rId5"/>
    <sheet sheetId="3" name="Release Plan" state="visible" r:id="rId6"/>
    <sheet sheetId="4" name="Migration Reality Check" state="visible" r:id="rId7"/>
  </sheets>
  <calcPr calcId="171027"/>
</workbook>
</file>

<file path=xl/sharedStrings.xml><?xml version="1.0" encoding="utf-8"?>
<sst xmlns="http://schemas.openxmlformats.org/spreadsheetml/2006/main" count="1656" uniqueCount="706">
  <si>
    <t>#</t>
  </si>
  <si>
    <t>Category</t>
  </si>
  <si>
    <t>Sub</t>
  </si>
  <si>
    <t>Feature</t>
  </si>
  <si>
    <t>Description</t>
  </si>
  <si>
    <t>Where</t>
  </si>
  <si>
    <t>Shipped (SaaS)</t>
  </si>
  <si>
    <t>Phase</t>
  </si>
  <si>
    <t>Apex Effort</t>
  </si>
  <si>
    <t>Deployed (Package)</t>
  </si>
  <si>
    <t>Migration Notes</t>
  </si>
  <si>
    <t>Engine Core</t>
  </si>
  <si>
    <t>Schema</t>
  </si>
  <si>
    <t>ForensicScan custom object</t>
  </si>
  <si>
    <t>Per-scan record: status, started_at, completed_at, totals</t>
  </si>
  <si>
    <t>DB → SF custom object</t>
  </si>
  <si>
    <t>Yes</t>
  </si>
  <si>
    <t>v1.0</t>
  </si>
  <si>
    <t>Easy</t>
  </si>
  <si>
    <t>No</t>
  </si>
  <si>
    <t>Becomes ForensicScan__c with picklist Status + summary fields.</t>
  </si>
  <si>
    <t>ForensicFinding custom object</t>
  </si>
  <si>
    <t>Per-finding row: detector_id, gap_usd, status, hidden_at, consultant_note</t>
  </si>
  <si>
    <t>Becomes ForensicFinding__c. ~12 custom fields including evidence as Long Text Area.</t>
  </si>
  <si>
    <t>AttributionTrace custom object</t>
  </si>
  <si>
    <t>Root-cause trace: class, config, evidence, AI explanation</t>
  </si>
  <si>
    <t>Medium</t>
  </si>
  <si>
    <t>AttributionTrace__c with junction to ForensicFinding__c.</t>
  </si>
  <si>
    <t>RecoveryAction custom object</t>
  </si>
  <si>
    <t>State machine: pending → approved → committed</t>
  </si>
  <si>
    <t>RecoveryAction__c + Apex trigger for state transitions.</t>
  </si>
  <si>
    <t>CheckSuppression custom object</t>
  </si>
  <si>
    <t>Per-org false-positive memory: future scans skip suppressed checks</t>
  </si>
  <si>
    <t>v1.5</t>
  </si>
  <si>
    <t>CheckSuppression__c keyed (org, check_id).</t>
  </si>
  <si>
    <t>Scan</t>
  </si>
  <si>
    <t>Background scan job + chaining</t>
  </si>
  <si>
    <t>Long-running scan + chains forensic scan after config scan</t>
  </si>
  <si>
    <t>src/lib/scans/run-scan-in-background.ts</t>
  </si>
  <si>
    <t>Queueable + Batchable Apex chain. 5-min sync limit watch.</t>
  </si>
  <si>
    <t>Scan dialog with forensics opt-in</t>
  </si>
  <si>
    <t>UI to kick off a scan with deep-scan checkbox</t>
  </si>
  <si>
    <t>src/components/scan/scan-dialog.tsx</t>
  </si>
  <si>
    <t>LWC modal + toggle.</t>
  </si>
  <si>
    <t>AI</t>
  </si>
  <si>
    <t>Plain-English finding renderer (Gemini)</t>
  </si>
  <si>
    <t>AI-generated explanation per finding, grounded in evidence</t>
  </si>
  <si>
    <t>src/lib/forensics/renderer.ts</t>
  </si>
  <si>
    <t>v2.5</t>
  </si>
  <si>
    <t>Hard</t>
  </si>
  <si>
    <t>Apex Named Credential → Gemini. Governor limits cap throughput. Pre-compute via batch + cache.</t>
  </si>
  <si>
    <t>API</t>
  </si>
  <si>
    <t>Bulk API 2.0 client wrapper</t>
  </si>
  <si>
    <t>Stream-friendly SF Bulk API 2.0 wrapper</t>
  </si>
  <si>
    <t>src/lib/salesforce/bulk-client.ts</t>
  </si>
  <si>
    <t>Skip</t>
  </si>
  <si>
    <t>In-package uses native SOQL — no Bulk wrapper needed.</t>
  </si>
  <si>
    <t>jsforce + token refresh + retry</t>
  </si>
  <si>
    <t>createRefreshableConnection wrapper with revoke-detection</t>
  </si>
  <si>
    <t>src/lib/salesforce/client.ts</t>
  </si>
  <si>
    <t>N/A — Apex runs as the user.</t>
  </si>
  <si>
    <t>Empty-error guard (revoked-token detection)</t>
  </si>
  <si>
    <t>jsforce empty-message Error → actionable reconnect message</t>
  </si>
  <si>
    <t>4 API routes</t>
  </si>
  <si>
    <t>N/A in-package.</t>
  </si>
  <si>
    <t>Detectors</t>
  </si>
  <si>
    <t>Renewals</t>
  </si>
  <si>
    <t>REN-001 — Renewal Uplift Suppressed</t>
  </si>
  <si>
    <t>Renewal Quote Lines where contractually entitled uplift not applied</t>
  </si>
  <si>
    <t>src/lib/forensics/detectors/ren-001-renewal-uplift.ts</t>
  </si>
  <si>
    <t>Highest-$ detector. Phase 1 MVP.</t>
  </si>
  <si>
    <t>REN-002 — Renewal Below Current List Price</t>
  </si>
  <si>
    <t>Renewal NetPrice &lt; current PricebookEntry list price</t>
  </si>
  <si>
    <t>src/lib/forensics/detectors/ren-002-renewal-below-list.ts</t>
  </si>
  <si>
    <t>Common. Phase 1 MVP.</t>
  </si>
  <si>
    <t>Discounts</t>
  </si>
  <si>
    <t>DSC-FOR-001 — Promo Discount Roll-off Failure</t>
  </si>
  <si>
    <t>Promo discount past expiration still applied</t>
  </si>
  <si>
    <t>src/lib/forensics/detectors/dsc-for-001-promo-rolloff.ts</t>
  </si>
  <si>
    <t>Orders &amp; Billing</t>
  </si>
  <si>
    <t>ORD-FOR-001 — Order Activated, No Billing Schedule</t>
  </si>
  <si>
    <t>Active Order missing billing schedule</t>
  </si>
  <si>
    <t>src/lib/forensics/detectors/ord-for-001-order-no-billing.ts</t>
  </si>
  <si>
    <t>High-$ + governance. Phase 1 MVP.</t>
  </si>
  <si>
    <t>Quote Lines</t>
  </si>
  <si>
    <t>QL-FOR-001 — Bundle Required Option at $0</t>
  </si>
  <si>
    <t>Required bundle option zero-priced</t>
  </si>
  <si>
    <t>src/lib/forensics/detectors/ql-for-001-bundle-zero-price.ts</t>
  </si>
  <si>
    <t>Common easy-fix. Phase 1 MVP.</t>
  </si>
  <si>
    <t>Pipeline</t>
  </si>
  <si>
    <t>REN-003 — Quote Expired, No Renewal Action</t>
  </si>
  <si>
    <t>Quote past expiration with no renewal Opp</t>
  </si>
  <si>
    <t>src/lib/forensics/detectors/ren-003-quote-expired-no-renewal.ts</t>
  </si>
  <si>
    <t>Direct Apex port.</t>
  </si>
  <si>
    <t>REN-004 — Renewal Quote Stuck in Draft</t>
  </si>
  <si>
    <t>Renewal Quote past contract end, still in Draft</t>
  </si>
  <si>
    <t>src/lib/forensics/detectors/ren-004-renewal-quote-stuck-draft.ts</t>
  </si>
  <si>
    <t>DSC-FOR-002 — Stacked Discounts Beyond Cap</t>
  </si>
  <si>
    <t>Effective discount &gt; 50% approved cap</t>
  </si>
  <si>
    <t>src/lib/forensics/detectors/dsc-for-002-stacked-discounts.ts</t>
  </si>
  <si>
    <t>Governance</t>
  </si>
  <si>
    <t>QL-FOR-002 — Approval Skipped</t>
  </si>
  <si>
    <t>Discount above threshold without Approval record</t>
  </si>
  <si>
    <t>src/lib/forensics/detectors/ql-for-002-approval-skipped.ts</t>
  </si>
  <si>
    <t>ORD-FOR-002 — Q↔O Variance (New Business)</t>
  </si>
  <si>
    <t>Order total ≠ Quote total on new-business</t>
  </si>
  <si>
    <t>src/lib/forensics/detectors/ord-for-002-quote-order-variance.ts</t>
  </si>
  <si>
    <t>ORD-FOR-003 — Q↔O Variance (Amendment)</t>
  </si>
  <si>
    <t>Order total ≠ Quote total on amendments</t>
  </si>
  <si>
    <t>src/lib/forensics/detectors/ord-for-003-quote-order-variance-amendment.ts</t>
  </si>
  <si>
    <t>Subscriptions</t>
  </si>
  <si>
    <t>SUB-FOR-001 — Active Sub, No Quote</t>
  </si>
  <si>
    <t>Active subscription with no originating Quote</t>
  </si>
  <si>
    <t>src/lib/forensics/detectors/sub-for-001-orphan-subscription.ts</t>
  </si>
  <si>
    <t>PROV-FOR-001 — Renewed Without Provisioning</t>
  </si>
  <si>
    <t>Renewed sub with no provisioning Asset</t>
  </si>
  <si>
    <t>src/lib/forensics/detectors/prov-for-001-renewed-no-provisioning.ts</t>
  </si>
  <si>
    <t>PROV-FOR-002 — Active Sub, No Asset</t>
  </si>
  <si>
    <t>Active sub with no matching Asset</t>
  </si>
  <si>
    <t>src/lib/forensics/detectors/prov-for-002-sub-no-asset.ts</t>
  </si>
  <si>
    <t>OPP-FOR-001 — Closed-Won, No Quote</t>
  </si>
  <si>
    <t>Closed-Won Opportunity with no Quote</t>
  </si>
  <si>
    <t>src/lib/forensics/detectors/opp-for-001-closedwon-no-quote.ts</t>
  </si>
  <si>
    <t>CON-FOR-001 — Contract Active, All Subs Expired</t>
  </si>
  <si>
    <t>Active Contract whose subscriptions have all expired</t>
  </si>
  <si>
    <t>src/lib/forensics/detectors/con-for-001-contract-stale.ts</t>
  </si>
  <si>
    <t>AMD-FOR-001 — Amendment, No Effective Date</t>
  </si>
  <si>
    <t>Amendment Quote missing SBQQ__StartDate__c</t>
  </si>
  <si>
    <t>src/lib/forensics/detectors/amd-for-001-amendment-no-effective-date.ts</t>
  </si>
  <si>
    <t>AST-FOR-001 — Asset Terminated, No Credit Memo</t>
  </si>
  <si>
    <t>Terminated Asset + active sub + no credit memo</t>
  </si>
  <si>
    <t>src/lib/forensics/detectors/ast-for-001-terminated-no-credit.ts</t>
  </si>
  <si>
    <t>Crosses into Billing module; needs Billing module access in Apex.</t>
  </si>
  <si>
    <t>Pricing Locks</t>
  </si>
  <si>
    <t>CT-FOR-001 — Contracted Price Expired</t>
  </si>
  <si>
    <t>Expired SBQQ__ContractedPrice__c still applied</t>
  </si>
  <si>
    <t>src/lib/forensics/detectors/ct-for-001-expired-contracted-price.ts</t>
  </si>
  <si>
    <t>MDQ-FOR-001 — MDQ Segment Pricing Inconsistency</t>
  </si>
  <si>
    <t>MDQ multi-year flat pricing (no YoY uplift)</t>
  </si>
  <si>
    <t>src/lib/forensics/detectors/mdq-for-001-segment-pricing.ts</t>
  </si>
  <si>
    <t>Attribution</t>
  </si>
  <si>
    <t>Tracers</t>
  </si>
  <si>
    <t>Class A — Process &amp; System Disconnect</t>
  </si>
  <si>
    <t>Orders without billing schedules, Opportunities without Quotes</t>
  </si>
  <si>
    <t>src/lib/forensics/tracers/class-a-system-disconnect.ts</t>
  </si>
  <si>
    <t>Phase 1 MVP — covers the most impactful root cause.</t>
  </si>
  <si>
    <t>Class B — Manual Override</t>
  </si>
  <si>
    <t>Manual price overrides bypassing CPQ pricing</t>
  </si>
  <si>
    <t>src/lib/forensics/tracers/class-b-manual-override.ts</t>
  </si>
  <si>
    <t>Phase 1 MVP.</t>
  </si>
  <si>
    <t>Class C — Conflicting Automation</t>
  </si>
  <si>
    <t>Flows / Triggers / Price Rules with conflicting actions</t>
  </si>
  <si>
    <t>src/lib/forensics/tracers/class-c-conflicting-automation.ts</t>
  </si>
  <si>
    <t>Tooling API access from Apex needs ApexClass/Flow describe perms.</t>
  </si>
  <si>
    <t>Class D — Missing Governance</t>
  </si>
  <si>
    <t>Missing approval records, governance gaps</t>
  </si>
  <si>
    <t>src/lib/forensics/tracers/class-d-missing-governance.ts</t>
  </si>
  <si>
    <t>Class E — Poor Data Quality</t>
  </si>
  <si>
    <t>Stale, malformed, or incomplete records</t>
  </si>
  <si>
    <t>src/lib/forensics/tracers/class-e-data-quality.ts</t>
  </si>
  <si>
    <t>Recovery</t>
  </si>
  <si>
    <t>Stage</t>
  </si>
  <si>
    <t>Stage single finding</t>
  </si>
  <si>
    <t>POST /api/forensic-findings/[id]/stage</t>
  </si>
  <si>
    <t>src/app/api/forensic-findings/[id]/stage/route.ts</t>
  </si>
  <si>
    <t>@AuraEnabled Apex.</t>
  </si>
  <si>
    <t>Bulk stage findings</t>
  </si>
  <si>
    <t>POST /api/forensic-findings/bulk-stage</t>
  </si>
  <si>
    <t>src/app/api/forensic-findings/bulk-stage/route.ts</t>
  </si>
  <si>
    <t>@AuraEnabled Apex batch.</t>
  </si>
  <si>
    <t>Approve</t>
  </si>
  <si>
    <t>Approve recovery action</t>
  </si>
  <si>
    <t>pending → approved transition</t>
  </si>
  <si>
    <t>src/app/api/recovery-actions/[id]/route.ts</t>
  </si>
  <si>
    <t>Picklist update + audit trail.</t>
  </si>
  <si>
    <t>Reject recovery action</t>
  </si>
  <si>
    <t>pending → rejected; sets reason</t>
  </si>
  <si>
    <t>Picklist update.</t>
  </si>
  <si>
    <t>Commit</t>
  </si>
  <si>
    <t>Mark committed (consultant attestation)</t>
  </si>
  <si>
    <t>After CSV upload, mark as committed</t>
  </si>
  <si>
    <t>recovery-actions API</t>
  </si>
  <si>
    <t>In-package: replaced with direct "Apply Fix" button → DML.</t>
  </si>
  <si>
    <t>Commit verification (re-query SF)</t>
  </si>
  <si>
    <t>Re-query SF record to confirm fix landed</t>
  </si>
  <si>
    <t>src/lib/forensics/commit-verifier.ts</t>
  </si>
  <si>
    <t>Re-verify endpoint</t>
  </si>
  <si>
    <t>Retry verification on previously-failed commits</t>
  </si>
  <si>
    <t>src/app/api/recovery-actions/[id]/re-verify/route.ts</t>
  </si>
  <si>
    <t>Re-stage (committed → pending)</t>
  </si>
  <si>
    <t>Un-commit a verified-but-broken recovery</t>
  </si>
  <si>
    <t>stage API</t>
  </si>
  <si>
    <t>CSV</t>
  </si>
  <si>
    <t>Recovery CSV (per-finding)</t>
  </si>
  <si>
    <t>Data-Loader-ready CSV for one finding</t>
  </si>
  <si>
    <t>src/app/api/forensic-findings/[id]/recovery-csv/route.ts</t>
  </si>
  <si>
    <t>In-package: replace with direct DML; CSV becomes optional escape hatch.</t>
  </si>
  <si>
    <t>Recovery CSV (bulk)</t>
  </si>
  <si>
    <t>Consolidated CSV for many approved actions</t>
  </si>
  <si>
    <t>src/app/api/recovery-actions/bulk-csv/route.ts</t>
  </si>
  <si>
    <t>Same — replace with direct DML, keep CSV as fallback.</t>
  </si>
  <si>
    <t>UI</t>
  </si>
  <si>
    <t>Recovery queue page</t>
  </si>
  <si>
    <t>Pending / Approved / Committed / Rejected tabs</t>
  </si>
  <si>
    <t>src/app/orgs/[orgId]/forensics/recovery/page.tsx</t>
  </si>
  <si>
    <t>LWC tabset + lightning-datatable.</t>
  </si>
  <si>
    <t>Failed-verify expandable detail UI</t>
  </si>
  <si>
    <t>Show expected vs actual when verification fails</t>
  </si>
  <si>
    <t>recovery page</t>
  </si>
  <si>
    <t>LWC accordion.</t>
  </si>
  <si>
    <t>"Auto-resolved (duplicate)" labeling</t>
  </si>
  <si>
    <t>Detect duplicate recovery requests and mark them</t>
  </si>
  <si>
    <t>recovery-actions/bulk API</t>
  </si>
  <si>
    <t>Apex dedupe check.</t>
  </si>
  <si>
    <t>Dashboard</t>
  </si>
  <si>
    <t>Headline</t>
  </si>
  <si>
    <t>Revenue Leakage card (verified + estimated)</t>
  </si>
  <si>
    <t>Headline $ leakage with verified-from-findings + estimated-from-formulas split</t>
  </si>
  <si>
    <t>src/components/scan/revenue-leakage-card.tsx</t>
  </si>
  <si>
    <t>LWC. Aggregation in Apex.</t>
  </si>
  <si>
    <t>Score band header</t>
  </si>
  <si>
    <t>71/100 + critical/warnings/best-practices counts</t>
  </si>
  <si>
    <t>src/app/orgs/[orgId]/page.tsx</t>
  </si>
  <si>
    <t>LWC.</t>
  </si>
  <si>
    <t>Cards</t>
  </si>
  <si>
    <t>Revenue Leakage themed sub-cards (3-up grid)</t>
  </si>
  <si>
    <t>Renewals / Discounting / Orders &amp; Billing / Subscriptions / Pricing Locks</t>
  </si>
  <si>
    <t>v2.0</t>
  </si>
  <si>
    <t>LWC grid.</t>
  </si>
  <si>
    <t>Governance Risk card</t>
  </si>
  <si>
    <t>Process/audit findings without $ claim</t>
  </si>
  <si>
    <t>src/components/scan/category-risk-card.tsx</t>
  </si>
  <si>
    <t>Pipeline Risk card</t>
  </si>
  <si>
    <t>Prospective revenue at risk</t>
  </si>
  <si>
    <t>Pricing Discipline card</t>
  </si>
  <si>
    <t>Avg discount, % manual overrides, threshold compliance</t>
  </si>
  <si>
    <t>src/components/scan/pricing-discipline-card.tsx</t>
  </si>
  <si>
    <t>LWC + Apex aggregator.</t>
  </si>
  <si>
    <t>CPQ Complexity card (factors + benchmark line)</t>
  </si>
  <si>
    <t>Counts of products/bundles/etc. with industry benchmark line</t>
  </si>
  <si>
    <t>src/components/scan/complexity-card.tsx</t>
  </si>
  <si>
    <t>LWC chart.</t>
  </si>
  <si>
    <t>AI-Powered Analysis card</t>
  </si>
  <si>
    <t>AI summary of top categories + critical counts</t>
  </si>
  <si>
    <t>src/app/orgs/[orgId]/page.tsx (inline)</t>
  </si>
  <si>
    <t>AI callout from Apex. Pre-compute via batch job.</t>
  </si>
  <si>
    <t>Since Last Scan diff card</t>
  </si>
  <si>
    <t>"What changed this week" deltas</t>
  </si>
  <si>
    <t>src/components/scan/since-last-scan-card.tsx</t>
  </si>
  <si>
    <t>LWC + Apex diff.</t>
  </si>
  <si>
    <t>Score Trend chart</t>
  </si>
  <si>
    <t>Historical line chart with delta vs starting scan</t>
  </si>
  <si>
    <t>src/components/scan/score-trend.tsx</t>
  </si>
  <si>
    <t>LWC chart-js or lightning-chartjs.</t>
  </si>
  <si>
    <t>Matrix</t>
  </si>
  <si>
    <t>Grid</t>
  </si>
  <si>
    <t>$-Impact × Effort 3×3 matrix card</t>
  </si>
  <si>
    <t>The competitive wedge — findings by $ × effort</t>
  </si>
  <si>
    <t>src/components/scan/impact-effort-matrix.tsx</t>
  </si>
  <si>
    <t>LWC with custom cell grid.</t>
  </si>
  <si>
    <t>Drill</t>
  </si>
  <si>
    <t>Click-to-drill modal per cell</t>
  </si>
  <si>
    <t>Click cell → modal lists findings in that bucket</t>
  </si>
  <si>
    <t>LWC modal.</t>
  </si>
  <si>
    <t>Hours</t>
  </si>
  <si>
    <t>Effort-hours per cell estimate</t>
  </si>
  <si>
    <t>SOW-ready time estimate</t>
  </si>
  <si>
    <t>Compute in Apex from DETECTOR_EFFORT map.</t>
  </si>
  <si>
    <t>Quick Wins highlight + Sparkles</t>
  </si>
  <si>
    <t>Top-left cell as the pitch slide</t>
  </si>
  <si>
    <t>LWC styling.</t>
  </si>
  <si>
    <t>Reports</t>
  </si>
  <si>
    <t>PDF</t>
  </si>
  <si>
    <t>Executive PDF report (5-page deliverable)</t>
  </si>
  <si>
    <t>Branded PDF: leakage summary, top contributors, methodology, recovery checklist</t>
  </si>
  <si>
    <t>src/lib/report/pdf-generator.tsx</t>
  </si>
  <si>
    <t>Visualforce PDF rendering (15MB cap, layout-limited). Or external callout to a PDF service.</t>
  </si>
  <si>
    <t>Excel</t>
  </si>
  <si>
    <t>Excel issue export</t>
  </si>
  <si>
    <t>XLSX dump of all issues</t>
  </si>
  <si>
    <t>src/app/api/issues/export/route.ts</t>
  </si>
  <si>
    <t>No Apex XLSX library; use CSV instead.</t>
  </si>
  <si>
    <t>Docs</t>
  </si>
  <si>
    <t>Documentation export</t>
  </si>
  <si>
    <t>Markdown/HTML doc of findings + remediation steps</t>
  </si>
  <si>
    <t>src/app/api/orgs/[orgId]/documentation/route.ts</t>
  </si>
  <si>
    <t>Apex string templating.</t>
  </si>
  <si>
    <t>Filter</t>
  </si>
  <si>
    <t>Findings</t>
  </si>
  <si>
    <t>Findings filter bar (search + effort + severity + hidden)</t>
  </si>
  <si>
    <t>Reusable filter UI with URL persistence</t>
  </si>
  <si>
    <t>src/components/scan/findings-filter.tsx</t>
  </si>
  <si>
    <t>Issues</t>
  </si>
  <si>
    <t>Issues filter bar (search + severity + status)</t>
  </si>
  <si>
    <t>Same shape for issues domain</t>
  </si>
  <si>
    <t>src/components/scan/issues-filter.tsx</t>
  </si>
  <si>
    <t>Misc</t>
  </si>
  <si>
    <t>URL persistence per scope</t>
  </si>
  <si>
    <t>Filter state survives refresh + shareable links</t>
  </si>
  <si>
    <t>findings-filter + issues-filter</t>
  </si>
  <si>
    <t>Lightning URL handling more restrictive; c__params via NavigationMixin.</t>
  </si>
  <si>
    <t>Filter scope coexistence (3 bars on page)</t>
  </si>
  <si>
    <t>Revenue Leakage + Gov + Pipeline filter independence</t>
  </si>
  <si>
    <t>paramScope arg</t>
  </si>
  <si>
    <t>LWC equivalent achievable.</t>
  </si>
  <si>
    <t>Bulk</t>
  </si>
  <si>
    <t>BulkActionBar (configurable)</t>
  </si>
  <si>
    <t>Reusable bar with primary/secondary/destructive variants</t>
  </si>
  <si>
    <t>src/components/scan/bulk-action-bar.tsx</t>
  </si>
  <si>
    <t>"Select all visible" affordance</t>
  </si>
  <si>
    <t>One-click select all filtered rows</t>
  </si>
  <si>
    <t>BulkActionBar</t>
  </si>
  <si>
    <t>Lightning datatable built-in.</t>
  </si>
  <si>
    <t>Bulk stage findings (Revenue Leakage)</t>
  </si>
  <si>
    <t>Multi-select + bulk stage on theme cards</t>
  </si>
  <si>
    <t>revenue-leakage-card</t>
  </si>
  <si>
    <t>Lightning datatable row-select.</t>
  </si>
  <si>
    <t>Bulk stage findings (Gov/Pipeline)</t>
  </si>
  <si>
    <t>Same pattern on category cards</t>
  </si>
  <si>
    <t>category-risk-card</t>
  </si>
  <si>
    <t>Hide</t>
  </si>
  <si>
    <t>POST /bulk-hide + DELETE for unhide</t>
  </si>
  <si>
    <t>Atomic batch hide/restore</t>
  </si>
  <si>
    <t>src/app/api/forensic-findings/bulk-hide/route.ts</t>
  </si>
  <si>
    <t>Bulk acknowledge/resolve issues</t>
  </si>
  <si>
    <t>Issues tab BulkActionBar with status transitions</t>
  </si>
  <si>
    <t>src/components/scan/issues-bulk-section.tsx</t>
  </si>
  <si>
    <t>Lightning datatable.</t>
  </si>
  <si>
    <t>POST /api/issues/bulk-update</t>
  </si>
  <si>
    <t>Atomic batch issue update + suppression upsert</t>
  </si>
  <si>
    <t>src/app/api/issues/bulk-update/route.ts</t>
  </si>
  <si>
    <t>Hide single finding (POST)</t>
  </si>
  <si>
    <t>Toggles hidden_at timestamp</t>
  </si>
  <si>
    <t>src/app/api/forensic-findings/[id]/hide/route.ts</t>
  </si>
  <si>
    <t>Apex method.</t>
  </si>
  <si>
    <t>Restore hidden finding (DELETE)</t>
  </si>
  <si>
    <t>Clears hidden_at</t>
  </si>
  <si>
    <t>Show-hidden toggle in filter bar</t>
  </si>
  <si>
    <t>Filter affordance to view dismissed findings</t>
  </si>
  <si>
    <t>findings-filter</t>
  </si>
  <si>
    <t>Optimistic locally-hidden update</t>
  </si>
  <si>
    <t>Rows drop immediately, server roundtrip in background</t>
  </si>
  <si>
    <t>revenue-leakage-card + category-risk-card</t>
  </si>
  <si>
    <t>LWC reactivity via @track.</t>
  </si>
  <si>
    <t>Notes</t>
  </si>
  <si>
    <t>DB</t>
  </si>
  <si>
    <t>consultant_note + updated_at columns</t>
  </si>
  <si>
    <t>Free-text private note per finding</t>
  </si>
  <si>
    <t>DB migration</t>
  </si>
  <si>
    <t>Long Text Area on ForensicFinding__c.</t>
  </si>
  <si>
    <t>PATCH /[id]/note endpoint</t>
  </si>
  <si>
    <t>Save/clear note with whitespace coalescing</t>
  </si>
  <si>
    <t>src/app/api/forensic-findings/[id]/note/route.ts</t>
  </si>
  <si>
    <t>Note editor on detail page</t>
  </si>
  <si>
    <t>Collapsed when empty; explicit save</t>
  </si>
  <si>
    <t>src/app/orgs/[orgId]/forensics/[findingId]/page.tsx</t>
  </si>
  <si>
    <t>LWC textarea.</t>
  </si>
  <si>
    <t>Note popover (inline edit from row)</t>
  </si>
  <si>
    <t>360px floating panel anchored to row icon</t>
  </si>
  <si>
    <t>src/components/scan/note-popover.tsx</t>
  </si>
  <si>
    <t>LWC lightning-popup.</t>
  </si>
  <si>
    <t>Note indicator icon + tooltip preview</t>
  </si>
  <si>
    <t>Amber 📝 on rows with notes; first 200 chars on hover</t>
  </si>
  <si>
    <t>LWC slds-icon + lightning-helptext.</t>
  </si>
  <si>
    <t>"Add note" hover affordance</t>
  </si>
  <si>
    <t>Empty-note rows get hover button to add</t>
  </si>
  <si>
    <t>Attribution Map</t>
  </si>
  <si>
    <t>Page</t>
  </si>
  <si>
    <t>Attribution Map page</t>
  </si>
  <si>
    <t>Root config objects ranked by $ at risk</t>
  </si>
  <si>
    <t>src/app/orgs/[orgId]/forensics/attribution-map/page.tsx</t>
  </si>
  <si>
    <t>LWC datatable.</t>
  </si>
  <si>
    <t>Class filter pills (A/B/C/D/E)</t>
  </si>
  <si>
    <t>Filter the map by attribution class</t>
  </si>
  <si>
    <t>attribution-map page</t>
  </si>
  <si>
    <t>Stage all from attribution map</t>
  </si>
  <si>
    <t>One-click stage every finding under a root config</t>
  </si>
  <si>
    <t>Calls bulk-stage Apex.</t>
  </si>
  <si>
    <t>Root config Setup deep-link</t>
  </si>
  <si>
    <t>Each row deep-links to Salesforce Setup</t>
  </si>
  <si>
    <t>NavigationMixin native in Lightning.</t>
  </si>
  <si>
    <t>Tabs</t>
  </si>
  <si>
    <t>Nav</t>
  </si>
  <si>
    <t>6-tab horizontal nav</t>
  </si>
  <si>
    <t>Summary / Revenue Leakage / Governance &amp; Pipeline / Pricing Discipline / Issues / Plan</t>
  </si>
  <si>
    <t>src/components/ui/dashboard-tabs.tsx</t>
  </si>
  <si>
    <t>lightning-tabset native.</t>
  </si>
  <si>
    <t>Draggable tab reordering</t>
  </si>
  <si>
    <t>dnd-kit drag-to-reorder</t>
  </si>
  <si>
    <t>dashboard-tabs</t>
  </si>
  <si>
    <t>v3.0+</t>
  </si>
  <si>
    <t>lightning-tabset doesn't support reorder. Custom LWC + drag lib needed.</t>
  </si>
  <si>
    <t>Tab order persistence (localStorage)</t>
  </si>
  <si>
    <t>User's order survives across orgs</t>
  </si>
  <si>
    <t>User Custom Setting.</t>
  </si>
  <si>
    <t>URL deep-link via ?tab=</t>
  </si>
  <si>
    <t>Shareable links to a specific tab</t>
  </si>
  <si>
    <t>NavigationMixin generateUrl().</t>
  </si>
  <si>
    <t>List</t>
  </si>
  <si>
    <t>Top Issues curated list (top 5)</t>
  </si>
  <si>
    <t>Sorted by severity + impact, grouped to fold siblings</t>
  </si>
  <si>
    <t>CategoryBreakdown grid tiles</t>
  </si>
  <si>
    <t>5-col grid of categorized issue counts; click → modal</t>
  </si>
  <si>
    <t>src/components/scan/category-breakdown.tsx</t>
  </si>
  <si>
    <t>LWC tiles. Drag-to-reorder needs custom impl.</t>
  </si>
  <si>
    <t>Modal</t>
  </si>
  <si>
    <t>CategoryIssuesModal</t>
  </si>
  <si>
    <t>Click tile → modal listing all issues in that category</t>
  </si>
  <si>
    <t>inline</t>
  </si>
  <si>
    <t>IssueDetailModal</t>
  </si>
  <si>
    <t>Click issue → modal with description + fix actions</t>
  </si>
  <si>
    <t>src/components/issues/issue-detail-modal.tsx</t>
  </si>
  <si>
    <t>Issues bulk section (flat list + checkboxes)</t>
  </si>
  <si>
    <t>Below Top Issues — bulk-action surface</t>
  </si>
  <si>
    <t>Suppress</t>
  </si>
  <si>
    <t>check_suppressions (false-positive memory)</t>
  </si>
  <si>
    <t>Future scans skip the check for that org</t>
  </si>
  <si>
    <t>DB + bulk-update side-effect</t>
  </si>
  <si>
    <t>CheckSuppression__c.</t>
  </si>
  <si>
    <t>Finding Detail</t>
  </si>
  <si>
    <t>Finding detail page (full hero)</t>
  </si>
  <si>
    <t>Gap headline + Affected Record + Attribution + Recovery</t>
  </si>
  <si>
    <t>LWC full-page component.</t>
  </si>
  <si>
    <t>Affected record deep-link</t>
  </si>
  <si>
    <t>Button to navigate to the record in Lightning</t>
  </si>
  <si>
    <t>finding detail page</t>
  </si>
  <si>
    <t>NavigationMixin native.</t>
  </si>
  <si>
    <t>Attribution trace panel</t>
  </si>
  <si>
    <t>Class + Config + Reason + AI explanation + Suggested fix</t>
  </si>
  <si>
    <t>LWC. AI fields populated by batch.</t>
  </si>
  <si>
    <t>Evidence panel (collapsible JSON)</t>
  </si>
  <si>
    <t>Deterministic facts the rules engine used</t>
  </si>
  <si>
    <t>LWC code-block. Evidence stored as Long Text Area JSON.</t>
  </si>
  <si>
    <t>Stage → Approve → Commit workflow buttons</t>
  </si>
  <si>
    <t>State-aware buttons progressing the finding</t>
  </si>
  <si>
    <t>LWC + Apex calls per transition.</t>
  </si>
  <si>
    <t>UX</t>
  </si>
  <si>
    <t>Type</t>
  </si>
  <si>
    <t>Plain-English label sweep</t>
  </si>
  <si>
    <t>Delta → Change, Baseline → Starting scan, etc.</t>
  </si>
  <si>
    <t>multiple files</t>
  </si>
  <si>
    <t>Apply same vocab to LWC.</t>
  </si>
  <si>
    <t>Typography hierarchy (bold card titles)</t>
  </si>
  <si>
    <t>h2/h3 bumped to font-bold + larger sizes</t>
  </si>
  <si>
    <t>SLDS slds-text-heading_*.</t>
  </si>
  <si>
    <t>Layout</t>
  </si>
  <si>
    <t>Wider org layout (1280 → 1536px)</t>
  </si>
  <si>
    <t>max-w-screen-2xl</t>
  </si>
  <si>
    <t>src/app/orgs/[orgId]/layout.tsx</t>
  </si>
  <si>
    <t>SLDS slds-container_x-large.</t>
  </si>
  <si>
    <t>Boxed number badges (Gov/Pipeline)</t>
  </si>
  <si>
    <t>Finding count + $ in styled badge box</t>
  </si>
  <si>
    <t>Industry benchmark line on Complexity factors</t>
  </si>
  <si>
    <t>Small grey tick on each bar</t>
  </si>
  <si>
    <t>complexity-card</t>
  </si>
  <si>
    <t>LWC chart overlay.</t>
  </si>
  <si>
    <t>CPQ Complexity + AI Analysis side-by-side</t>
  </si>
  <si>
    <t>2-col layout pairing metric + narrative</t>
  </si>
  <si>
    <t>org page</t>
  </si>
  <si>
    <t>Badges</t>
  </si>
  <si>
    <t>Effort badge per finding (Low/Med/High)</t>
  </si>
  <si>
    <t>Color-coded chip on every row</t>
  </si>
  <si>
    <t>multiple</t>
  </si>
  <si>
    <t>Errors</t>
  </si>
  <si>
    <t>Card error UI + actionable copy</t>
  </si>
  <si>
    <t>Card-load failures show headline + reconnect hint</t>
  </si>
  <si>
    <t>multiple scan components</t>
  </si>
  <si>
    <t>LWC error templates.</t>
  </si>
  <si>
    <t>Theme</t>
  </si>
  <si>
    <t>Dark mode support</t>
  </si>
  <si>
    <t>Dark variants on every surface (Tailwind dark:)</t>
  </si>
  <si>
    <t>Salesforce dark mode in Winter '24+. SLDS supports.</t>
  </si>
  <si>
    <t>Mobile-responsive layouts</t>
  </si>
  <si>
    <t>sm:/md:/lg: breakpoints on grids + nav</t>
  </si>
  <si>
    <t>SLDS responsive utilities.</t>
  </si>
  <si>
    <t>Header width matched to content</t>
  </si>
  <si>
    <t>AppHeader extends to max-w-screen-2xl</t>
  </si>
  <si>
    <t>app-header</t>
  </si>
  <si>
    <t>Forensic Diff</t>
  </si>
  <si>
    <t>Forensic diff API</t>
  </si>
  <si>
    <t>Compare two scans → added / resolved / worsened / improved</t>
  </si>
  <si>
    <t>src/app/api/orgs/[orgId]/forensic-diff/route.ts</t>
  </si>
  <si>
    <t>Apex aggregator.</t>
  </si>
  <si>
    <t>Forensic Diff full page</t>
  </si>
  <si>
    <t>Detailed page showing every added/resolved/worsened finding</t>
  </si>
  <si>
    <t>src/app/orgs/[orgId]/forensics/diff/page.tsx</t>
  </si>
  <si>
    <t>LWC page.</t>
  </si>
  <si>
    <t>Auth / Onboarding</t>
  </si>
  <si>
    <t>Auth</t>
  </si>
  <si>
    <t>Salesforce OAuth + Connected App</t>
  </si>
  <si>
    <t>Login with SF, refresh tokens, multi-org connection</t>
  </si>
  <si>
    <t>src/app/api/salesforce/callback/route.ts</t>
  </si>
  <si>
    <t>N/A — managed package runs IN the user's org.</t>
  </si>
  <si>
    <t>Email/password sign-up + login</t>
  </si>
  <si>
    <t>Standard email auth via Supabase</t>
  </si>
  <si>
    <t>src/app/auth/</t>
  </si>
  <si>
    <t>N/A — Salesforce handles identity in-package.</t>
  </si>
  <si>
    <t>Onboarding</t>
  </si>
  <si>
    <t>Onboarding wizard</t>
  </si>
  <si>
    <t>New user role/company/product fit collection</t>
  </si>
  <si>
    <t>src/app/onboarding/page.tsx</t>
  </si>
  <si>
    <t>LWC wizard.</t>
  </si>
  <si>
    <t>Onboarding checklist (dismissible)</t>
  </si>
  <si>
    <t>In-app guide for first-time users</t>
  </si>
  <si>
    <t>dashboard</t>
  </si>
  <si>
    <t>LWC + persisted state.</t>
  </si>
  <si>
    <t>Settings</t>
  </si>
  <si>
    <t>Profile + avatar upload</t>
  </si>
  <si>
    <t>Name, photo, job title, location, phone</t>
  </si>
  <si>
    <t>src/app/settings/page.tsx</t>
  </si>
  <si>
    <t>Salesforce User record + ContentVersion.</t>
  </si>
  <si>
    <t>Notification settings</t>
  </si>
  <si>
    <t>Email + in-app event preferences</t>
  </si>
  <si>
    <t>settings page</t>
  </si>
  <si>
    <t>Custom Setting per user.</t>
  </si>
  <si>
    <t>Revenue assumptions (per user)</t>
  </si>
  <si>
    <t>Annual revenue, currency, LTV multiplier inputs</t>
  </si>
  <si>
    <t>Custom Setting.</t>
  </si>
  <si>
    <t>Company branding (logo, color)</t>
  </si>
  <si>
    <t>Used on PDF reports + dashboard chrome</t>
  </si>
  <si>
    <t>Custom Setting + ContentVersion logo.</t>
  </si>
  <si>
    <t>Dark mode toggle (persisted)</t>
  </si>
  <si>
    <t>localStorage persisted theme</t>
  </si>
  <si>
    <t>src/components/theme-provider.tsx</t>
  </si>
  <si>
    <t>Salesforce dark mode is org-wide; user-level via SLDS theme.</t>
  </si>
  <si>
    <t>Org Mgmt</t>
  </si>
  <si>
    <t>Connect org (OAuth)</t>
  </si>
  <si>
    <t>Link a Salesforce org to your account</t>
  </si>
  <si>
    <t>org connection flow</t>
  </si>
  <si>
    <t>Org disconnect &amp; reconnect</t>
  </si>
  <si>
    <t>Soft-delete an org, reconnect with BYO ECA</t>
  </si>
  <si>
    <t>org-card</t>
  </si>
  <si>
    <t>Force product type selector</t>
  </si>
  <si>
    <t>Override auto-detect (CPQ / CPQ+Billing / ARM)</t>
  </si>
  <si>
    <t>LWC picklist.</t>
  </si>
  <si>
    <t>Team &amp; Portfolio</t>
  </si>
  <si>
    <t>Team</t>
  </si>
  <si>
    <t>Multi-user workspaces</t>
  </si>
  <si>
    <t>Owner/Admin/Viewer roles, per-member management</t>
  </si>
  <si>
    <t>src/components/team/member-list.tsx</t>
  </si>
  <si>
    <t>Salesforce has its own user/role/permission model.</t>
  </si>
  <si>
    <t>Team activity feed</t>
  </si>
  <si>
    <t>Audit log of joins/scans/role changes</t>
  </si>
  <si>
    <t>src/components/team/activity-feed.tsx</t>
  </si>
  <si>
    <t>AuditTrail__c or use FieldHistory.</t>
  </si>
  <si>
    <t>Team invitations (email + token)</t>
  </si>
  <si>
    <t>Invite teammate via email with token acceptance</t>
  </si>
  <si>
    <t>src/app/invite/[token]/page.tsx</t>
  </si>
  <si>
    <t>Salesforce user provisioning is separate.</t>
  </si>
  <si>
    <t>Portfolio</t>
  </si>
  <si>
    <t>Multi-org dashboard (consultant portfolio)</t>
  </si>
  <si>
    <t>See ALL connected orgs in one place — the consultant workflow</t>
  </si>
  <si>
    <t>src/app/dashboard/page.tsx</t>
  </si>
  <si>
    <t>THE thing you lose with managed package. Managed package = single org per install.</t>
  </si>
  <si>
    <t>Portfolio runs (async multi-org scan)</t>
  </si>
  <si>
    <t>Kick off N scans across orgs at once with progress polling</t>
  </si>
  <si>
    <t>src/app/portfolio/runs/[id]/page.tsx</t>
  </si>
  <si>
    <t>N/A — single-org install model.</t>
  </si>
  <si>
    <t>Compare two orgs</t>
  </si>
  <si>
    <t>Side-by-side comparison view</t>
  </si>
  <si>
    <t>src/app/compare/page.tsx</t>
  </si>
  <si>
    <t>History</t>
  </si>
  <si>
    <t>Scan history page</t>
  </si>
  <si>
    <t>Per-org timeline with sorting, score trends, compare-scans</t>
  </si>
  <si>
    <t>src/app/orgs/[orgId]/history/page.tsx</t>
  </si>
  <si>
    <t>Admin &amp; Ops</t>
  </si>
  <si>
    <t>Internal</t>
  </si>
  <si>
    <t>Admin dashboard</t>
  </si>
  <si>
    <t>System-wide stats, user counts, recent activity</t>
  </si>
  <si>
    <t>src/app/admin/page.tsx</t>
  </si>
  <si>
    <t>Internal SaaS admin — N/A.</t>
  </si>
  <si>
    <t>Public status page</t>
  </si>
  <si>
    <t>Health check dashboard, uptime</t>
  </si>
  <si>
    <t>src/app/status/page.tsx</t>
  </si>
  <si>
    <t>Plan quotas (Free/Pro/Enterprise)</t>
  </si>
  <si>
    <t>Scan / AI / PDF / org limits per plan</t>
  </si>
  <si>
    <t>src/lib/quota.ts</t>
  </si>
  <si>
    <t>AppExchange license enforcement is different model.</t>
  </si>
  <si>
    <t>Check trust scores</t>
  </si>
  <si>
    <t>Per-check "% of users found helpful" aggregation</t>
  </si>
  <si>
    <t>src/app/api/checks/trust-scores/route.ts</t>
  </si>
  <si>
    <t>Cross-org telemetry — N/A.</t>
  </si>
  <si>
    <t>Weekly feedback digest cron</t>
  </si>
  <si>
    <t>Admin email summarizing suppressed checks across platform</t>
  </si>
  <si>
    <t>src/app/api/cron/feedback-digest/route.ts</t>
  </si>
  <si>
    <t>Public</t>
  </si>
  <si>
    <t>Changelog page</t>
  </si>
  <si>
    <t>Public release notes</t>
  </si>
  <si>
    <t>src/app/changelog/page.tsx</t>
  </si>
  <si>
    <t>AppExchange listing release notes is the equivalent.</t>
  </si>
  <si>
    <t>Industry benchmarks (dormant)</t>
  </si>
  <si>
    <t>Percentile lookup infrastructure for revenue leakage comparisons</t>
  </si>
  <si>
    <t>src/lib/analysis/benchmarks.ts</t>
  </si>
  <si>
    <t>Needs cross-org dataset — hard in single-org install.</t>
  </si>
  <si>
    <t>Infra</t>
  </si>
  <si>
    <t>Hosting</t>
  </si>
  <si>
    <t>Vercel Hobby tier deployment</t>
  </si>
  <si>
    <t>Next.js hosting, 60s function limit</t>
  </si>
  <si>
    <t>vercel.json</t>
  </si>
  <si>
    <t>Supabase Postgres</t>
  </si>
  <si>
    <t>Multi-tenant rows-per-user DB</t>
  </si>
  <si>
    <t>src/lib/db/migrations/</t>
  </si>
  <si>
    <t>Replaced by Salesforce Custom Objects.</t>
  </si>
  <si>
    <t>Email</t>
  </si>
  <si>
    <t>Resend transactional email</t>
  </si>
  <si>
    <t>Email service for scan-complete notifications</t>
  </si>
  <si>
    <t>src/lib/email/resend.ts</t>
  </si>
  <si>
    <t>Replace with Apex SingleEmailMessage. 5000/day limit.</t>
  </si>
  <si>
    <t>Scan-complete email notification</t>
  </si>
  <si>
    <t>"Your scan is done" auto-email</t>
  </si>
  <si>
    <t>run-scan-in-background.ts</t>
  </si>
  <si>
    <t>Apex SingleEmailMessage in scan handler.</t>
  </si>
  <si>
    <t>Scan schedule + cron runner</t>
  </si>
  <si>
    <t>Recurring auto-scans</t>
  </si>
  <si>
    <t>src/lib/scans/scheduled-scans.ts</t>
  </si>
  <si>
    <t>Scheduled Apex native.</t>
  </si>
  <si>
    <t>Schedule modal + list UI</t>
  </si>
  <si>
    <t>Configure recurring scan cadence</t>
  </si>
  <si>
    <t>src/components/schedule/</t>
  </si>
  <si>
    <t>LWC + Apex scheduler.</t>
  </si>
  <si>
    <t>Tests</t>
  </si>
  <si>
    <t>1399 unit tests passing</t>
  </si>
  <si>
    <t>Vitest suite — detectors, tracers, renderers, state machines, APIs</t>
  </si>
  <si>
    <t>src/__tests__/</t>
  </si>
  <si>
    <t>Apex tests need rewrite. ~50-100 Apex test classes for ≥75% coverage required by AppExchange security review.</t>
  </si>
  <si>
    <t>Diag</t>
  </si>
  <si>
    <t>Detector verification report script</t>
  </si>
  <si>
    <t>Audits all 20 detectors against CPQ Ks demo data</t>
  </si>
  <si>
    <t>scripts/verify-all-detectors.ts</t>
  </si>
  <si>
    <t>Dev tool — N/A in-package.</t>
  </si>
  <si>
    <t>Features</t>
  </si>
  <si>
    <t>Deployed</t>
  </si>
  <si>
    <t>% Deployed</t>
  </si>
  <si>
    <t>TOTAL</t>
  </si>
  <si>
    <t>Release</t>
  </si>
  <si>
    <t>Name</t>
  </si>
  <si>
    <t>Approx Effort</t>
  </si>
  <si>
    <t>What ships</t>
  </si>
  <si>
    <t>What CUSTOMER gets</t>
  </si>
  <si>
    <t>Critical to ship?</t>
  </si>
  <si>
    <t>MVP</t>
  </si>
  <si>
    <t>~6 weeks</t>
  </si>
  <si>
    <t>5 custom objects (ForensicScan / ForensicFinding / AttributionTrace / RecoveryAction / CheckSuppression) • 5 highest-$ detectors (REN-001, REN-002, DSC-FOR-001, ORD-FOR-001, QL-FOR-001) • Class A + B attribution • Finding detail page • Stage → Approve → Mark Committed workflow • Commit verification • Score band header • Revenue Leakage card (basic) • Recovery queue • 1399 unit tests rewritten as Apex</t>
  </si>
  <si>
    <t>Click "Run Scan" inside Salesforce. See total leakage in $. Drill into top findings. Approve fixes. Apply them via in-org button (no Data Loader detour needed). Verify the fix landed.</t>
  </si>
  <si>
    <t>MUST SHIP</t>
  </si>
  <si>
    <t>Coverage</t>
  </si>
  <si>
    <t>~4 weeks</t>
  </si>
  <si>
    <t>Remaining 15 detectors • Class C, D, E tracers • Filter bar (search + effort + severity + hidden) • Hide / restore • Bulk select + bulk-stage + bulk-hide • Notes (DB + editor + indicator) • Issues bulk acknowledge/resolve • check_suppressions • Top Issues curated list • Effort badge per row • Card error UI</t>
  </si>
  <si>
    <t>Full detector coverage. Power-user workflow: search, filter, multi-select, bulk approve. Notes per finding for engagement context. Mark known false-positives so future scans skip them.</t>
  </si>
  <si>
    <t>STRONGLY RECOMMEND</t>
  </si>
  <si>
    <t>Polish</t>
  </si>
  <si>
    <t>$-Impact × Effort matrix card • Click-to-drill modal • 6-tab navigation • URL deep-links • Theme card grouping • Pricing Discipline + CPQ Complexity cards • Score Trend + Since Last Scan diff • Attribution Map page • Note popover (inline edit) • Scan history page • Plain-English label sweep • Typography hierarchy • Mobile responsive</t>
  </si>
  <si>
    <t>Sales-ready dashboard. "What to fix first" matrix becomes the pitch slide. Org history trend visible. Consultant can demo full audit-to-recovery on a screenshare.</t>
  </si>
  <si>
    <t>RECOMMENDED</t>
  </si>
  <si>
    <t>Hard Stuff</t>
  </si>
  <si>
    <t>AI explanations (batch via Apex callout to Gemini) • Executive PDF report (Visualforce) • Email notifications (Apex SingleEmail) • Scheduled scans (Scheduled Apex) • Onboarding wizard • Profile + revenue assumptions • Dark mode (SLDS) • AST-FOR-001 + Asset/Billing detector • Team activity audit trail</t>
  </si>
  <si>
    <t>Production-grade. AI explains what every finding means. Scans run on a schedule. PDF report for the client meeting. Customer onboarding becomes hands-off.</t>
  </si>
  <si>
    <t>NICE TO HAVE</t>
  </si>
  <si>
    <t>Future</t>
  </si>
  <si>
    <t>TBD</t>
  </si>
  <si>
    <t>Draggable tab reorder • Industry benchmarks (cross-org dataset) • Whatever doesn't fit above</t>
  </si>
  <si>
    <t>Polish + delight features.</t>
  </si>
  <si>
    <t>OPTIONAL</t>
  </si>
  <si>
    <t>Won't Migrate</t>
  </si>
  <si>
    <t>N/A</t>
  </si>
  <si>
    <t>Multi-org portfolio dashboard • Compare-two-orgs view • Team invitations + workspaces • Admin dashboard • Public status page • Plan quotas (Free/Pro/Enterprise) • Trust scores + feedback digest • OAuth + Connected App • Vercel hosting • Supabase DB • Email/password auth • Header width tuning • Empty-error guards</t>
  </si>
  <si>
    <t>These are SaaS-only or cross-org features. The managed-package install model is single-org-per-install — these don't translate.</t>
  </si>
  <si>
    <t>DO NOT MIGRATE</t>
  </si>
  <si>
    <t>CUMULATIVE TIMELINE</t>
  </si>
  <si>
    <t>After v1.0</t>
  </si>
  <si>
    <t>Week 6</t>
  </si>
  <si>
    <t/>
  </si>
  <si>
    <t>AppExchange-listable MVP. Can demo end-to-end audit-to-recovery flow on a Salesforce-native dashboard. Top 5 detectors cover ~70% of $-impact in a typical org.</t>
  </si>
  <si>
    <t>After v1.5</t>
  </si>
  <si>
    <t>Week 10</t>
  </si>
  <si>
    <t>Full detector coverage. Consultants can run real audits and capture engagement notes. Bulk workflows make 50-finding reviews tractable.</t>
  </si>
  <si>
    <t>After v2.0</t>
  </si>
  <si>
    <t>Week 14</t>
  </si>
  <si>
    <t>Production-ready dashboard. Matrix + tabs + trend make this a real Hubbl competitor. Visual parity achieved.</t>
  </si>
  <si>
    <t>After v2.5</t>
  </si>
  <si>
    <t>Week 20</t>
  </si>
  <si>
    <t>AI + PDF + scheduled-scan parity with SaaS version. Last gap: multi-org portfolio (which is structurally incompatible with managed-package model).</t>
  </si>
  <si>
    <t>Topic</t>
  </si>
  <si>
    <t>What it means for OrgPrism → Managed Package</t>
  </si>
  <si>
    <t>Current architecture</t>
  </si>
  <si>
    <t>Next.js 14 + Supabase Postgres + Vercel + jsforce + Gemini AI + Resend email + @react-pdf/renderer. ZERO Salesforce metadata exists today. The repo has no Apex classes, no LWC, no custom objects, no Flows.</t>
  </si>
  <si>
    <t>What "managed package" requires</t>
  </si>
  <si>
    <t>Apex code, Lightning Web Components, Custom Objects + Fields, Validation Rules, Flows, Permission Sets, Static Resources. All packaged into a 1GP or 2GP managed package, distributed via AppExchange.</t>
  </si>
  <si>
    <t>Honest effort estimate</t>
  </si>
  <si>
    <t>Full rewrite (v1.0 + v1.5 + v2.0): ~14 weeks for one Salesforce dev. Add v2.5 for ~20 weeks. The Release Plan tab breaks down what ships per release.</t>
  </si>
  <si>
    <t>What gets LOST in the migration</t>
  </si>
  <si>
    <t>(1) Multi-org portfolio dashboard — consultants lose their cross-org view. Each install only sees its own org. (2) AI explanations limited by Apex governor + callout limits. (3) Cross-engagement notes — each consultant must re-log notes per install. (4) PDF reports degraded (Visualforce is limited vs React-PDF). (5) Custom auth flow.</t>
  </si>
  <si>
    <t>What gets EASIER</t>
  </si>
  <si>
    <t>(1) Customer data never leaves their org — easier security review. (2) AppExchange = real discovery channel. (3) Salesforce admins prefer in-org tools. (4) Setup deep-links work natively. (5) Lightning datatable is excellent for selection + filtering. (6) No Data Loader detour — direct DML can apply fixes.</t>
  </si>
  <si>
    <t>Hubbl's actual architecture</t>
  </si>
  <si>
    <t>Hubbl is NOT a managed package. It is a SaaS web app at app.hubbl.com that reads metadata via OAuth. They distribute via AppExchange listing only. Same model as Salto, Provar, GearsetCM. Mention this so the founder calibrates expectations.</t>
  </si>
  <si>
    <t>Required for AppExchange listing</t>
  </si>
  <si>
    <t>Security Review (multi-week back-and-forth with Salesforce). Apex test coverage ≥75%. SOC2-equivalent documentation. Pen-test report. Costs ~$5-10K for partner setup + listing fees.</t>
  </si>
  <si>
    <t>The trap to avoid</t>
  </si>
  <si>
    <t>Don't conflate "we should be on AppExchange" with "we should be Apex-native." These are independent decisions. You can be on AppExchange WITHOUT being Apex-native (most SaaS vendors do this for years before going managed).</t>
  </si>
  <si>
    <t>Excel checkbox legend</t>
  </si>
  <si>
    <t>In the Features tab, "Deployed (Package)" column has a Yes/No/Partial dropdown. Mark Yes once a feature is re-implemented in the managed package. Conditional formatting turns the cell green on Yes, amber on Partial. The Summary tab shows progress per category. The Release Plan tab shows what should ship in which version.</t>
  </si>
  <si>
    <t>Apex Effort legend</t>
  </si>
  <si>
    <t>Easy = direct SOQL/data port. Medium = needs Custom Object + Apex glue. Hard = AI/PDF/cross-org dependency that fights Apex constraints. Skip = SaaS-only feature with no in-Salesforce equivalent (auth, hosting, multi-tenant DB, etc.). Skip rows total ~25 features that will NEVER migrate by design.</t>
  </si>
  <si>
    <t>Phase legend</t>
  </si>
  <si>
    <t>v1.0 = MVP (~6w), v1.5 = Coverage (~4w), v2.0 = Polish (~4w), v2.5 = Hard Stuff (~6w), v3.0+ = Future, Skip = Won't migrate. The Release Plan tab has full per-version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</si>
</sst>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color rgb="FFFFFFFF"/>
      <sz val="11"/>
      <name val="Calibri"/>
    </font>
    <font>
      <b/>
      <color rgb="FF065F46"/>
      <name val="Calibri"/>
    </font>
    <font>
      <b/>
      <name val="Calibri"/>
    </font>
    <font>
      <b/>
      <color rgb="FF991B1B"/>
      <name val="Calibri"/>
    </font>
    <font>
      <b/>
      <color rgb="FFFFFFFF"/>
      <name val="Calibri"/>
    </font>
    <font>
      <b/>
      <sz val="13"/>
      <name val="Calibri"/>
    </font>
    <font>
      <b/>
      <sz val="11"/>
      <name val="Calibri"/>
    </font>
  </fonts>
  <fills count="10">
    <fill>
      <patternFill patternType="none"/>
    </fill>
    <fill>
      <patternFill patternType="gray125"/>
    </fill>
    <fill>
      <patternFill patternType="solid">
        <fgColor rgb="FF1F2937"/>
      </patternFill>
    </fill>
    <fill>
      <patternFill patternType="solid">
        <fgColor rgb="FFD1FAE5"/>
      </patternFill>
    </fill>
    <fill>
      <patternFill patternType="solid">
        <fgColor rgb="FFDBEAFE"/>
      </patternFill>
    </fill>
    <fill>
      <patternFill patternType="solid">
        <fgColor rgb="FFFEE2E2"/>
      </patternFill>
    </fill>
    <fill>
      <patternFill patternType="solid">
        <fgColor rgb="FFFEF3C7"/>
      </patternFill>
    </fill>
    <fill>
      <patternFill patternType="solid">
        <fgColor rgb="FFE5E7EB"/>
      </patternFill>
    </fill>
    <fill>
      <patternFill patternType="solid">
        <fgColor rgb="FFF3E8FF"/>
      </patternFill>
    </fill>
    <fill>
      <patternFill patternType="solid">
        <fgColor rgb="FFF3F4F6"/>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center"/>
    </xf>
    <xf numFmtId="0" fontId="0" fillId="0" borderId="0" xfId="0" applyAlignment="1">
      <alignment vertical="top" wrapText="1"/>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4" fillId="5" borderId="0" xfId="0" applyFont="1" applyFill="1" applyAlignment="1">
      <alignment horizontal="center" vertical="center"/>
    </xf>
    <xf numFmtId="0" fontId="3" fillId="6" borderId="0" xfId="0" applyFont="1" applyFill="1" applyAlignment="1">
      <alignment horizontal="center"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5" fillId="2" borderId="0" xfId="0" applyFont="1" applyFill="1" applyAlignment="1">
      <alignment vertical="center"/>
    </xf>
    <xf numFmtId="0" fontId="0" fillId="0" borderId="0" xfId="0" applyAlignment="1">
      <alignment vertical="center"/>
    </xf>
    <xf numFmtId="164" fontId="0" fillId="0" borderId="0" xfId="0" applyNumberFormat="1" applyAlignment="1">
      <alignment vertical="center"/>
    </xf>
    <xf numFmtId="0" fontId="3" fillId="9" borderId="0" xfId="0" applyFont="1" applyFill="1"/>
    <xf numFmtId="164" fontId="3" fillId="9" borderId="0" xfId="0" applyNumberFormat="1" applyFont="1" applyFill="1"/>
    <xf numFmtId="0" fontId="1" fillId="2" borderId="0" xfId="0" applyFont="1" applyFill="1" applyAlignment="1">
      <alignment vertical="center"/>
    </xf>
    <xf numFmtId="0" fontId="6" fillId="4" borderId="0" xfId="0" applyFont="1" applyFill="1" applyAlignment="1">
      <alignment horizontal="center" vertical="center"/>
    </xf>
    <xf numFmtId="0" fontId="7" fillId="0" borderId="0" xfId="0" applyFont="1" applyAlignment="1">
      <alignment vertical="top" wrapText="1"/>
    </xf>
    <xf numFmtId="0" fontId="3" fillId="0" borderId="0" xfId="0" applyFont="1" applyAlignment="1">
      <alignment horizontal="center" vertical="center" wrapText="1"/>
    </xf>
    <xf numFmtId="0" fontId="6" fillId="3" borderId="0" xfId="0" applyFont="1" applyFill="1" applyAlignment="1">
      <alignment horizontal="center" vertical="center"/>
    </xf>
    <xf numFmtId="0" fontId="6" fillId="6" borderId="0" xfId="0" applyFont="1" applyFill="1" applyAlignment="1">
      <alignment horizontal="center" vertical="center"/>
    </xf>
    <xf numFmtId="0" fontId="6" fillId="5" borderId="0" xfId="0" applyFont="1" applyFill="1" applyAlignment="1">
      <alignment horizontal="center" vertical="center"/>
    </xf>
    <xf numFmtId="0" fontId="6" fillId="8" borderId="0" xfId="0" applyFont="1" applyFill="1" applyAlignment="1">
      <alignment horizontal="center" vertical="center"/>
    </xf>
    <xf numFmtId="0" fontId="6" fillId="7" borderId="0" xfId="0" applyFont="1" applyFill="1" applyAlignment="1">
      <alignment horizontal="center" vertical="center"/>
    </xf>
    <xf numFmtId="0" fontId="6" fillId="9" borderId="0" xfId="0" applyFont="1" applyFill="1"/>
    <xf numFmtId="0" fontId="0" fillId="0" borderId="0" xfId="0" applyAlignment="1">
      <alignment vertical="center" wrapText="1"/>
    </xf>
    <xf numFmtId="0" fontId="3" fillId="0" borderId="0" xfId="0" applyFont="1" applyAlignment="1">
      <alignment vertical="center" wrapText="1"/>
    </xf>
    <xf numFmtId="0" fontId="3" fillId="0" borderId="0" xfId="0" applyFont="1" applyAlignment="1">
      <alignment vertical="top" wrapText="1"/>
    </xf>
  </cellXfs>
  <cellStyles count="1">
    <cellStyle name="Normal" xfId="0" builtinId="0"/>
  </cellStyles>
  <dxfs count="2">
    <dxf>
      <font>
        <b/>
        <color rgb="FF065F46"/>
      </font>
      <fill>
        <patternFill patternType="solid">
          <bgColor rgb="FFD1FAE5"/>
        </patternFill>
      </fill>
    </dxf>
    <dxf>
      <font>
        <b/>
        <color rgb="FF92400E"/>
      </font>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4"/>
  <sheetViews>
    <sheetView workbookViewId="0">
      <pane xSplit="1" ySplit="1" topLeftCell="B2" activePane="bottomRight" state="frozen"/>
      <selection pane="bottomRight"/>
    </sheetView>
  </sheetViews>
  <sheetFormatPr defaultRowHeight="15" outlineLevelRow="0" outlineLevelCol="0" x14ac:dyDescent="55"/>
  <cols>
    <col min="1" max="1" width="5" customWidth="1"/>
    <col min="2" max="2" width="20" customWidth="1"/>
    <col min="3" max="3" width="14" customWidth="1"/>
    <col min="4" max="4" width="48" customWidth="1"/>
    <col min="5" max="5" width="60" customWidth="1"/>
    <col min="6" max="6" width="38" customWidth="1"/>
    <col min="7" max="7" width="14" customWidth="1"/>
    <col min="9" max="9" width="12" customWidth="1"/>
    <col min="10" max="10" width="18" customWidth="1"/>
    <col min="11" max="11" width="60" customWidth="1"/>
  </cols>
  <sheetData>
    <row r="1" ht="22" customHeight="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2" t="s">
        <v>12</v>
      </c>
      <c r="D2" s="2" t="s">
        <v>13</v>
      </c>
      <c r="E2" s="2" t="s">
        <v>14</v>
      </c>
      <c r="F2" s="2" t="s">
        <v>15</v>
      </c>
      <c r="G2" s="3" t="s">
        <v>16</v>
      </c>
      <c r="H2" s="4" t="s">
        <v>17</v>
      </c>
      <c r="I2" s="5" t="s">
        <v>18</v>
      </c>
      <c r="J2" s="6" t="s">
        <v>19</v>
      </c>
      <c r="K2" s="2" t="s">
        <v>20</v>
      </c>
    </row>
    <row r="3" spans="1:11" s="2" customFormat="1" x14ac:dyDescent="0.25">
      <c r="A3" s="2">
        <v>2</v>
      </c>
      <c r="B3" s="2" t="s">
        <v>11</v>
      </c>
      <c r="C3" s="2" t="s">
        <v>12</v>
      </c>
      <c r="D3" s="2" t="s">
        <v>21</v>
      </c>
      <c r="E3" s="2" t="s">
        <v>22</v>
      </c>
      <c r="F3" s="2" t="s">
        <v>15</v>
      </c>
      <c r="G3" s="3" t="s">
        <v>16</v>
      </c>
      <c r="H3" s="4" t="s">
        <v>17</v>
      </c>
      <c r="I3" s="5" t="s">
        <v>18</v>
      </c>
      <c r="J3" s="6" t="s">
        <v>19</v>
      </c>
      <c r="K3" s="2" t="s">
        <v>23</v>
      </c>
    </row>
    <row r="4" spans="1:11" s="2" customFormat="1" x14ac:dyDescent="0.25">
      <c r="A4" s="2">
        <v>3</v>
      </c>
      <c r="B4" s="2" t="s">
        <v>11</v>
      </c>
      <c r="C4" s="2" t="s">
        <v>12</v>
      </c>
      <c r="D4" s="2" t="s">
        <v>24</v>
      </c>
      <c r="E4" s="2" t="s">
        <v>25</v>
      </c>
      <c r="F4" s="2" t="s">
        <v>15</v>
      </c>
      <c r="G4" s="3" t="s">
        <v>16</v>
      </c>
      <c r="H4" s="4" t="s">
        <v>17</v>
      </c>
      <c r="I4" s="7" t="s">
        <v>26</v>
      </c>
      <c r="J4" s="6" t="s">
        <v>19</v>
      </c>
      <c r="K4" s="2" t="s">
        <v>27</v>
      </c>
    </row>
    <row r="5" spans="1:11" s="2" customFormat="1" x14ac:dyDescent="0.25">
      <c r="A5" s="2">
        <v>4</v>
      </c>
      <c r="B5" s="2" t="s">
        <v>11</v>
      </c>
      <c r="C5" s="2" t="s">
        <v>12</v>
      </c>
      <c r="D5" s="2" t="s">
        <v>28</v>
      </c>
      <c r="E5" s="2" t="s">
        <v>29</v>
      </c>
      <c r="F5" s="2" t="s">
        <v>15</v>
      </c>
      <c r="G5" s="3" t="s">
        <v>16</v>
      </c>
      <c r="H5" s="4" t="s">
        <v>17</v>
      </c>
      <c r="I5" s="7" t="s">
        <v>26</v>
      </c>
      <c r="J5" s="6" t="s">
        <v>19</v>
      </c>
      <c r="K5" s="2" t="s">
        <v>30</v>
      </c>
    </row>
    <row r="6" spans="1:11" s="2" customFormat="1" x14ac:dyDescent="0.25">
      <c r="A6" s="2">
        <v>5</v>
      </c>
      <c r="B6" s="2" t="s">
        <v>11</v>
      </c>
      <c r="C6" s="2" t="s">
        <v>12</v>
      </c>
      <c r="D6" s="2" t="s">
        <v>31</v>
      </c>
      <c r="E6" s="2" t="s">
        <v>32</v>
      </c>
      <c r="F6" s="2" t="s">
        <v>15</v>
      </c>
      <c r="G6" s="3" t="s">
        <v>16</v>
      </c>
      <c r="H6" s="5" t="s">
        <v>33</v>
      </c>
      <c r="I6" s="5" t="s">
        <v>18</v>
      </c>
      <c r="J6" s="6" t="s">
        <v>19</v>
      </c>
      <c r="K6" s="2" t="s">
        <v>34</v>
      </c>
    </row>
    <row r="7" spans="1:11" s="2" customFormat="1" x14ac:dyDescent="0.25">
      <c r="A7" s="2">
        <v>6</v>
      </c>
      <c r="B7" s="2" t="s">
        <v>11</v>
      </c>
      <c r="C7" s="2" t="s">
        <v>35</v>
      </c>
      <c r="D7" s="2" t="s">
        <v>36</v>
      </c>
      <c r="E7" s="2" t="s">
        <v>37</v>
      </c>
      <c r="F7" s="2" t="s">
        <v>38</v>
      </c>
      <c r="G7" s="3" t="s">
        <v>16</v>
      </c>
      <c r="H7" s="4" t="s">
        <v>17</v>
      </c>
      <c r="I7" s="7" t="s">
        <v>26</v>
      </c>
      <c r="J7" s="6" t="s">
        <v>19</v>
      </c>
      <c r="K7" s="2" t="s">
        <v>39</v>
      </c>
    </row>
    <row r="8" spans="1:11" s="2" customFormat="1" x14ac:dyDescent="0.25">
      <c r="A8" s="2">
        <v>7</v>
      </c>
      <c r="B8" s="2" t="s">
        <v>11</v>
      </c>
      <c r="C8" s="2" t="s">
        <v>35</v>
      </c>
      <c r="D8" s="2" t="s">
        <v>40</v>
      </c>
      <c r="E8" s="2" t="s">
        <v>41</v>
      </c>
      <c r="F8" s="2" t="s">
        <v>42</v>
      </c>
      <c r="G8" s="3" t="s">
        <v>16</v>
      </c>
      <c r="H8" s="4" t="s">
        <v>17</v>
      </c>
      <c r="I8" s="5" t="s">
        <v>18</v>
      </c>
      <c r="J8" s="6" t="s">
        <v>19</v>
      </c>
      <c r="K8" s="2" t="s">
        <v>43</v>
      </c>
    </row>
    <row r="9" spans="1:11" s="2" customFormat="1" x14ac:dyDescent="0.25">
      <c r="A9" s="2">
        <v>8</v>
      </c>
      <c r="B9" s="2" t="s">
        <v>11</v>
      </c>
      <c r="C9" s="2" t="s">
        <v>44</v>
      </c>
      <c r="D9" s="2" t="s">
        <v>45</v>
      </c>
      <c r="E9" s="2" t="s">
        <v>46</v>
      </c>
      <c r="F9" s="2" t="s">
        <v>47</v>
      </c>
      <c r="G9" s="3" t="s">
        <v>16</v>
      </c>
      <c r="H9" s="8" t="s">
        <v>48</v>
      </c>
      <c r="I9" s="8" t="s">
        <v>49</v>
      </c>
      <c r="J9" s="6" t="s">
        <v>19</v>
      </c>
      <c r="K9" s="2" t="s">
        <v>50</v>
      </c>
    </row>
    <row r="10" spans="1:11" s="2" customFormat="1" x14ac:dyDescent="0.25">
      <c r="A10" s="2">
        <v>9</v>
      </c>
      <c r="B10" s="2" t="s">
        <v>11</v>
      </c>
      <c r="C10" s="2" t="s">
        <v>51</v>
      </c>
      <c r="D10" s="2" t="s">
        <v>52</v>
      </c>
      <c r="E10" s="2" t="s">
        <v>53</v>
      </c>
      <c r="F10" s="2" t="s">
        <v>54</v>
      </c>
      <c r="G10" s="3" t="s">
        <v>16</v>
      </c>
      <c r="H10" s="9" t="s">
        <v>55</v>
      </c>
      <c r="I10" s="9" t="s">
        <v>55</v>
      </c>
      <c r="J10" s="6" t="s">
        <v>19</v>
      </c>
      <c r="K10" s="2" t="s">
        <v>56</v>
      </c>
    </row>
    <row r="11" spans="1:11" s="2" customFormat="1" x14ac:dyDescent="0.25">
      <c r="A11" s="2">
        <v>10</v>
      </c>
      <c r="B11" s="2" t="s">
        <v>11</v>
      </c>
      <c r="C11" s="2" t="s">
        <v>51</v>
      </c>
      <c r="D11" s="2" t="s">
        <v>57</v>
      </c>
      <c r="E11" s="2" t="s">
        <v>58</v>
      </c>
      <c r="F11" s="2" t="s">
        <v>59</v>
      </c>
      <c r="G11" s="3" t="s">
        <v>16</v>
      </c>
      <c r="H11" s="9" t="s">
        <v>55</v>
      </c>
      <c r="I11" s="9" t="s">
        <v>55</v>
      </c>
      <c r="J11" s="6" t="s">
        <v>19</v>
      </c>
      <c r="K11" s="2" t="s">
        <v>60</v>
      </c>
    </row>
    <row r="12" spans="1:11" s="2" customFormat="1" x14ac:dyDescent="0.25">
      <c r="A12" s="2">
        <v>11</v>
      </c>
      <c r="B12" s="2" t="s">
        <v>11</v>
      </c>
      <c r="C12" s="2" t="s">
        <v>51</v>
      </c>
      <c r="D12" s="2" t="s">
        <v>61</v>
      </c>
      <c r="E12" s="2" t="s">
        <v>62</v>
      </c>
      <c r="F12" s="2" t="s">
        <v>63</v>
      </c>
      <c r="G12" s="3" t="s">
        <v>16</v>
      </c>
      <c r="H12" s="9" t="s">
        <v>55</v>
      </c>
      <c r="I12" s="9" t="s">
        <v>55</v>
      </c>
      <c r="J12" s="6" t="s">
        <v>19</v>
      </c>
      <c r="K12" s="2" t="s">
        <v>64</v>
      </c>
    </row>
    <row r="13" spans="1:11" s="2" customFormat="1" x14ac:dyDescent="0.25">
      <c r="A13" s="2">
        <v>12</v>
      </c>
      <c r="B13" s="2" t="s">
        <v>65</v>
      </c>
      <c r="C13" s="2" t="s">
        <v>66</v>
      </c>
      <c r="D13" s="2" t="s">
        <v>67</v>
      </c>
      <c r="E13" s="2" t="s">
        <v>68</v>
      </c>
      <c r="F13" s="2" t="s">
        <v>69</v>
      </c>
      <c r="G13" s="3" t="s">
        <v>16</v>
      </c>
      <c r="H13" s="4" t="s">
        <v>17</v>
      </c>
      <c r="I13" s="5" t="s">
        <v>18</v>
      </c>
      <c r="J13" s="6" t="s">
        <v>19</v>
      </c>
      <c r="K13" s="2" t="s">
        <v>70</v>
      </c>
    </row>
    <row r="14" spans="1:11" s="2" customFormat="1" x14ac:dyDescent="0.25">
      <c r="A14" s="2">
        <v>13</v>
      </c>
      <c r="B14" s="2" t="s">
        <v>65</v>
      </c>
      <c r="C14" s="2" t="s">
        <v>66</v>
      </c>
      <c r="D14" s="2" t="s">
        <v>71</v>
      </c>
      <c r="E14" s="2" t="s">
        <v>72</v>
      </c>
      <c r="F14" s="2" t="s">
        <v>73</v>
      </c>
      <c r="G14" s="3" t="s">
        <v>16</v>
      </c>
      <c r="H14" s="4" t="s">
        <v>17</v>
      </c>
      <c r="I14" s="5" t="s">
        <v>18</v>
      </c>
      <c r="J14" s="6" t="s">
        <v>19</v>
      </c>
      <c r="K14" s="2" t="s">
        <v>74</v>
      </c>
    </row>
    <row r="15" spans="1:11" s="2" customFormat="1" x14ac:dyDescent="0.25">
      <c r="A15" s="2">
        <v>14</v>
      </c>
      <c r="B15" s="2" t="s">
        <v>65</v>
      </c>
      <c r="C15" s="2" t="s">
        <v>75</v>
      </c>
      <c r="D15" s="2" t="s">
        <v>76</v>
      </c>
      <c r="E15" s="2" t="s">
        <v>77</v>
      </c>
      <c r="F15" s="2" t="s">
        <v>78</v>
      </c>
      <c r="G15" s="3" t="s">
        <v>16</v>
      </c>
      <c r="H15" s="4" t="s">
        <v>17</v>
      </c>
      <c r="I15" s="5" t="s">
        <v>18</v>
      </c>
      <c r="J15" s="6" t="s">
        <v>19</v>
      </c>
      <c r="K15" s="2" t="s">
        <v>74</v>
      </c>
    </row>
    <row r="16" spans="1:11" s="2" customFormat="1" x14ac:dyDescent="0.25">
      <c r="A16" s="2">
        <v>15</v>
      </c>
      <c r="B16" s="2" t="s">
        <v>65</v>
      </c>
      <c r="C16" s="2" t="s">
        <v>79</v>
      </c>
      <c r="D16" s="2" t="s">
        <v>80</v>
      </c>
      <c r="E16" s="2" t="s">
        <v>81</v>
      </c>
      <c r="F16" s="2" t="s">
        <v>82</v>
      </c>
      <c r="G16" s="3" t="s">
        <v>16</v>
      </c>
      <c r="H16" s="4" t="s">
        <v>17</v>
      </c>
      <c r="I16" s="5" t="s">
        <v>18</v>
      </c>
      <c r="J16" s="6" t="s">
        <v>19</v>
      </c>
      <c r="K16" s="2" t="s">
        <v>83</v>
      </c>
    </row>
    <row r="17" spans="1:11" s="2" customFormat="1" x14ac:dyDescent="0.25">
      <c r="A17" s="2">
        <v>16</v>
      </c>
      <c r="B17" s="2" t="s">
        <v>65</v>
      </c>
      <c r="C17" s="2" t="s">
        <v>84</v>
      </c>
      <c r="D17" s="2" t="s">
        <v>85</v>
      </c>
      <c r="E17" s="2" t="s">
        <v>86</v>
      </c>
      <c r="F17" s="2" t="s">
        <v>87</v>
      </c>
      <c r="G17" s="3" t="s">
        <v>16</v>
      </c>
      <c r="H17" s="4" t="s">
        <v>17</v>
      </c>
      <c r="I17" s="5" t="s">
        <v>18</v>
      </c>
      <c r="J17" s="6" t="s">
        <v>19</v>
      </c>
      <c r="K17" s="2" t="s">
        <v>88</v>
      </c>
    </row>
    <row r="18" spans="1:11" s="2" customFormat="1" x14ac:dyDescent="0.25">
      <c r="A18" s="2">
        <v>17</v>
      </c>
      <c r="B18" s="2" t="s">
        <v>65</v>
      </c>
      <c r="C18" s="2" t="s">
        <v>89</v>
      </c>
      <c r="D18" s="2" t="s">
        <v>90</v>
      </c>
      <c r="E18" s="2" t="s">
        <v>91</v>
      </c>
      <c r="F18" s="2" t="s">
        <v>92</v>
      </c>
      <c r="G18" s="3" t="s">
        <v>16</v>
      </c>
      <c r="H18" s="5" t="s">
        <v>33</v>
      </c>
      <c r="I18" s="5" t="s">
        <v>18</v>
      </c>
      <c r="J18" s="6" t="s">
        <v>19</v>
      </c>
      <c r="K18" s="2" t="s">
        <v>93</v>
      </c>
    </row>
    <row r="19" spans="1:11" s="2" customFormat="1" x14ac:dyDescent="0.25">
      <c r="A19" s="2">
        <v>18</v>
      </c>
      <c r="B19" s="2" t="s">
        <v>65</v>
      </c>
      <c r="C19" s="2" t="s">
        <v>89</v>
      </c>
      <c r="D19" s="2" t="s">
        <v>94</v>
      </c>
      <c r="E19" s="2" t="s">
        <v>95</v>
      </c>
      <c r="F19" s="2" t="s">
        <v>96</v>
      </c>
      <c r="G19" s="3" t="s">
        <v>16</v>
      </c>
      <c r="H19" s="5" t="s">
        <v>33</v>
      </c>
      <c r="I19" s="5" t="s">
        <v>18</v>
      </c>
      <c r="J19" s="6" t="s">
        <v>19</v>
      </c>
      <c r="K19" s="2" t="s">
        <v>93</v>
      </c>
    </row>
    <row r="20" spans="1:11" s="2" customFormat="1" x14ac:dyDescent="0.25">
      <c r="A20" s="2">
        <v>19</v>
      </c>
      <c r="B20" s="2" t="s">
        <v>65</v>
      </c>
      <c r="C20" s="2" t="s">
        <v>75</v>
      </c>
      <c r="D20" s="2" t="s">
        <v>97</v>
      </c>
      <c r="E20" s="2" t="s">
        <v>98</v>
      </c>
      <c r="F20" s="2" t="s">
        <v>99</v>
      </c>
      <c r="G20" s="3" t="s">
        <v>16</v>
      </c>
      <c r="H20" s="5" t="s">
        <v>33</v>
      </c>
      <c r="I20" s="5" t="s">
        <v>18</v>
      </c>
      <c r="J20" s="6" t="s">
        <v>19</v>
      </c>
      <c r="K20" s="2" t="s">
        <v>93</v>
      </c>
    </row>
    <row r="21" spans="1:11" s="2" customFormat="1" x14ac:dyDescent="0.25">
      <c r="A21" s="2">
        <v>20</v>
      </c>
      <c r="B21" s="2" t="s">
        <v>65</v>
      </c>
      <c r="C21" s="2" t="s">
        <v>100</v>
      </c>
      <c r="D21" s="2" t="s">
        <v>101</v>
      </c>
      <c r="E21" s="2" t="s">
        <v>102</v>
      </c>
      <c r="F21" s="2" t="s">
        <v>103</v>
      </c>
      <c r="G21" s="3" t="s">
        <v>16</v>
      </c>
      <c r="H21" s="5" t="s">
        <v>33</v>
      </c>
      <c r="I21" s="5" t="s">
        <v>18</v>
      </c>
      <c r="J21" s="6" t="s">
        <v>19</v>
      </c>
      <c r="K21" s="2" t="s">
        <v>93</v>
      </c>
    </row>
    <row r="22" spans="1:11" s="2" customFormat="1" x14ac:dyDescent="0.25">
      <c r="A22" s="2">
        <v>21</v>
      </c>
      <c r="B22" s="2" t="s">
        <v>65</v>
      </c>
      <c r="C22" s="2" t="s">
        <v>79</v>
      </c>
      <c r="D22" s="2" t="s">
        <v>104</v>
      </c>
      <c r="E22" s="2" t="s">
        <v>105</v>
      </c>
      <c r="F22" s="2" t="s">
        <v>106</v>
      </c>
      <c r="G22" s="3" t="s">
        <v>16</v>
      </c>
      <c r="H22" s="5" t="s">
        <v>33</v>
      </c>
      <c r="I22" s="5" t="s">
        <v>18</v>
      </c>
      <c r="J22" s="6" t="s">
        <v>19</v>
      </c>
      <c r="K22" s="2" t="s">
        <v>93</v>
      </c>
    </row>
    <row r="23" spans="1:11" s="2" customFormat="1" x14ac:dyDescent="0.25">
      <c r="A23" s="2">
        <v>22</v>
      </c>
      <c r="B23" s="2" t="s">
        <v>65</v>
      </c>
      <c r="C23" s="2" t="s">
        <v>79</v>
      </c>
      <c r="D23" s="2" t="s">
        <v>107</v>
      </c>
      <c r="E23" s="2" t="s">
        <v>108</v>
      </c>
      <c r="F23" s="2" t="s">
        <v>109</v>
      </c>
      <c r="G23" s="3" t="s">
        <v>16</v>
      </c>
      <c r="H23" s="5" t="s">
        <v>33</v>
      </c>
      <c r="I23" s="5" t="s">
        <v>18</v>
      </c>
      <c r="J23" s="6" t="s">
        <v>19</v>
      </c>
      <c r="K23" s="2" t="s">
        <v>93</v>
      </c>
    </row>
    <row r="24" spans="1:11" s="2" customFormat="1" x14ac:dyDescent="0.25">
      <c r="A24" s="2">
        <v>23</v>
      </c>
      <c r="B24" s="2" t="s">
        <v>65</v>
      </c>
      <c r="C24" s="2" t="s">
        <v>110</v>
      </c>
      <c r="D24" s="2" t="s">
        <v>111</v>
      </c>
      <c r="E24" s="2" t="s">
        <v>112</v>
      </c>
      <c r="F24" s="2" t="s">
        <v>113</v>
      </c>
      <c r="G24" s="3" t="s">
        <v>16</v>
      </c>
      <c r="H24" s="5" t="s">
        <v>33</v>
      </c>
      <c r="I24" s="5" t="s">
        <v>18</v>
      </c>
      <c r="J24" s="6" t="s">
        <v>19</v>
      </c>
      <c r="K24" s="2" t="s">
        <v>93</v>
      </c>
    </row>
    <row r="25" spans="1:11" s="2" customFormat="1" x14ac:dyDescent="0.25">
      <c r="A25" s="2">
        <v>24</v>
      </c>
      <c r="B25" s="2" t="s">
        <v>65</v>
      </c>
      <c r="C25" s="2" t="s">
        <v>110</v>
      </c>
      <c r="D25" s="2" t="s">
        <v>114</v>
      </c>
      <c r="E25" s="2" t="s">
        <v>115</v>
      </c>
      <c r="F25" s="2" t="s">
        <v>116</v>
      </c>
      <c r="G25" s="3" t="s">
        <v>16</v>
      </c>
      <c r="H25" s="5" t="s">
        <v>33</v>
      </c>
      <c r="I25" s="5" t="s">
        <v>18</v>
      </c>
      <c r="J25" s="6" t="s">
        <v>19</v>
      </c>
      <c r="K25" s="2" t="s">
        <v>93</v>
      </c>
    </row>
    <row r="26" spans="1:11" s="2" customFormat="1" x14ac:dyDescent="0.25">
      <c r="A26" s="2">
        <v>25</v>
      </c>
      <c r="B26" s="2" t="s">
        <v>65</v>
      </c>
      <c r="C26" s="2" t="s">
        <v>110</v>
      </c>
      <c r="D26" s="2" t="s">
        <v>117</v>
      </c>
      <c r="E26" s="2" t="s">
        <v>118</v>
      </c>
      <c r="F26" s="2" t="s">
        <v>119</v>
      </c>
      <c r="G26" s="3" t="s">
        <v>16</v>
      </c>
      <c r="H26" s="5" t="s">
        <v>33</v>
      </c>
      <c r="I26" s="5" t="s">
        <v>18</v>
      </c>
      <c r="J26" s="6" t="s">
        <v>19</v>
      </c>
      <c r="K26" s="2" t="s">
        <v>93</v>
      </c>
    </row>
    <row r="27" spans="1:11" s="2" customFormat="1" x14ac:dyDescent="0.25">
      <c r="A27" s="2">
        <v>26</v>
      </c>
      <c r="B27" s="2" t="s">
        <v>65</v>
      </c>
      <c r="C27" s="2" t="s">
        <v>100</v>
      </c>
      <c r="D27" s="2" t="s">
        <v>120</v>
      </c>
      <c r="E27" s="2" t="s">
        <v>121</v>
      </c>
      <c r="F27" s="2" t="s">
        <v>122</v>
      </c>
      <c r="G27" s="3" t="s">
        <v>16</v>
      </c>
      <c r="H27" s="5" t="s">
        <v>33</v>
      </c>
      <c r="I27" s="5" t="s">
        <v>18</v>
      </c>
      <c r="J27" s="6" t="s">
        <v>19</v>
      </c>
      <c r="K27" s="2" t="s">
        <v>93</v>
      </c>
    </row>
    <row r="28" spans="1:11" s="2" customFormat="1" x14ac:dyDescent="0.25">
      <c r="A28" s="2">
        <v>27</v>
      </c>
      <c r="B28" s="2" t="s">
        <v>65</v>
      </c>
      <c r="C28" s="2" t="s">
        <v>100</v>
      </c>
      <c r="D28" s="2" t="s">
        <v>123</v>
      </c>
      <c r="E28" s="2" t="s">
        <v>124</v>
      </c>
      <c r="F28" s="2" t="s">
        <v>125</v>
      </c>
      <c r="G28" s="3" t="s">
        <v>16</v>
      </c>
      <c r="H28" s="5" t="s">
        <v>33</v>
      </c>
      <c r="I28" s="5" t="s">
        <v>18</v>
      </c>
      <c r="J28" s="6" t="s">
        <v>19</v>
      </c>
      <c r="K28" s="2" t="s">
        <v>93</v>
      </c>
    </row>
    <row r="29" spans="1:11" s="2" customFormat="1" x14ac:dyDescent="0.25">
      <c r="A29" s="2">
        <v>28</v>
      </c>
      <c r="B29" s="2" t="s">
        <v>65</v>
      </c>
      <c r="C29" s="2" t="s">
        <v>100</v>
      </c>
      <c r="D29" s="2" t="s">
        <v>126</v>
      </c>
      <c r="E29" s="2" t="s">
        <v>127</v>
      </c>
      <c r="F29" s="2" t="s">
        <v>128</v>
      </c>
      <c r="G29" s="3" t="s">
        <v>16</v>
      </c>
      <c r="H29" s="5" t="s">
        <v>33</v>
      </c>
      <c r="I29" s="5" t="s">
        <v>18</v>
      </c>
      <c r="J29" s="6" t="s">
        <v>19</v>
      </c>
      <c r="K29" s="2" t="s">
        <v>93</v>
      </c>
    </row>
    <row r="30" spans="1:11" s="2" customFormat="1" x14ac:dyDescent="0.25">
      <c r="A30" s="2">
        <v>29</v>
      </c>
      <c r="B30" s="2" t="s">
        <v>65</v>
      </c>
      <c r="C30" s="2" t="s">
        <v>110</v>
      </c>
      <c r="D30" s="2" t="s">
        <v>129</v>
      </c>
      <c r="E30" s="2" t="s">
        <v>130</v>
      </c>
      <c r="F30" s="2" t="s">
        <v>131</v>
      </c>
      <c r="G30" s="3" t="s">
        <v>16</v>
      </c>
      <c r="H30" s="8" t="s">
        <v>48</v>
      </c>
      <c r="I30" s="7" t="s">
        <v>26</v>
      </c>
      <c r="J30" s="6" t="s">
        <v>19</v>
      </c>
      <c r="K30" s="2" t="s">
        <v>132</v>
      </c>
    </row>
    <row r="31" spans="1:11" s="2" customFormat="1" x14ac:dyDescent="0.25">
      <c r="A31" s="2">
        <v>30</v>
      </c>
      <c r="B31" s="2" t="s">
        <v>65</v>
      </c>
      <c r="C31" s="2" t="s">
        <v>133</v>
      </c>
      <c r="D31" s="2" t="s">
        <v>134</v>
      </c>
      <c r="E31" s="2" t="s">
        <v>135</v>
      </c>
      <c r="F31" s="2" t="s">
        <v>136</v>
      </c>
      <c r="G31" s="3" t="s">
        <v>16</v>
      </c>
      <c r="H31" s="5" t="s">
        <v>33</v>
      </c>
      <c r="I31" s="5" t="s">
        <v>18</v>
      </c>
      <c r="J31" s="6" t="s">
        <v>19</v>
      </c>
      <c r="K31" s="2" t="s">
        <v>93</v>
      </c>
    </row>
    <row r="32" spans="1:11" s="2" customFormat="1" x14ac:dyDescent="0.25">
      <c r="A32" s="2">
        <v>31</v>
      </c>
      <c r="B32" s="2" t="s">
        <v>65</v>
      </c>
      <c r="C32" s="2" t="s">
        <v>133</v>
      </c>
      <c r="D32" s="2" t="s">
        <v>137</v>
      </c>
      <c r="E32" s="2" t="s">
        <v>138</v>
      </c>
      <c r="F32" s="2" t="s">
        <v>139</v>
      </c>
      <c r="G32" s="3" t="s">
        <v>16</v>
      </c>
      <c r="H32" s="5" t="s">
        <v>33</v>
      </c>
      <c r="I32" s="5" t="s">
        <v>18</v>
      </c>
      <c r="J32" s="6" t="s">
        <v>19</v>
      </c>
      <c r="K32" s="2" t="s">
        <v>93</v>
      </c>
    </row>
    <row r="33" spans="1:11" s="2" customFormat="1" x14ac:dyDescent="0.25">
      <c r="A33" s="2">
        <v>32</v>
      </c>
      <c r="B33" s="2" t="s">
        <v>140</v>
      </c>
      <c r="C33" s="2" t="s">
        <v>141</v>
      </c>
      <c r="D33" s="2" t="s">
        <v>142</v>
      </c>
      <c r="E33" s="2" t="s">
        <v>143</v>
      </c>
      <c r="F33" s="2" t="s">
        <v>144</v>
      </c>
      <c r="G33" s="3" t="s">
        <v>16</v>
      </c>
      <c r="H33" s="4" t="s">
        <v>17</v>
      </c>
      <c r="I33" s="5" t="s">
        <v>18</v>
      </c>
      <c r="J33" s="6" t="s">
        <v>19</v>
      </c>
      <c r="K33" s="2" t="s">
        <v>145</v>
      </c>
    </row>
    <row r="34" spans="1:11" s="2" customFormat="1" x14ac:dyDescent="0.25">
      <c r="A34" s="2">
        <v>33</v>
      </c>
      <c r="B34" s="2" t="s">
        <v>140</v>
      </c>
      <c r="C34" s="2" t="s">
        <v>141</v>
      </c>
      <c r="D34" s="2" t="s">
        <v>146</v>
      </c>
      <c r="E34" s="2" t="s">
        <v>147</v>
      </c>
      <c r="F34" s="2" t="s">
        <v>148</v>
      </c>
      <c r="G34" s="3" t="s">
        <v>16</v>
      </c>
      <c r="H34" s="4" t="s">
        <v>17</v>
      </c>
      <c r="I34" s="5" t="s">
        <v>18</v>
      </c>
      <c r="J34" s="6" t="s">
        <v>19</v>
      </c>
      <c r="K34" s="2" t="s">
        <v>149</v>
      </c>
    </row>
    <row r="35" spans="1:11" s="2" customFormat="1" x14ac:dyDescent="0.25">
      <c r="A35" s="2">
        <v>34</v>
      </c>
      <c r="B35" s="2" t="s">
        <v>140</v>
      </c>
      <c r="C35" s="2" t="s">
        <v>141</v>
      </c>
      <c r="D35" s="2" t="s">
        <v>150</v>
      </c>
      <c r="E35" s="2" t="s">
        <v>151</v>
      </c>
      <c r="F35" s="2" t="s">
        <v>152</v>
      </c>
      <c r="G35" s="3" t="s">
        <v>16</v>
      </c>
      <c r="H35" s="5" t="s">
        <v>33</v>
      </c>
      <c r="I35" s="7" t="s">
        <v>26</v>
      </c>
      <c r="J35" s="6" t="s">
        <v>19</v>
      </c>
      <c r="K35" s="2" t="s">
        <v>153</v>
      </c>
    </row>
    <row r="36" spans="1:11" s="2" customFormat="1" x14ac:dyDescent="0.25">
      <c r="A36" s="2">
        <v>35</v>
      </c>
      <c r="B36" s="2" t="s">
        <v>140</v>
      </c>
      <c r="C36" s="2" t="s">
        <v>141</v>
      </c>
      <c r="D36" s="2" t="s">
        <v>154</v>
      </c>
      <c r="E36" s="2" t="s">
        <v>155</v>
      </c>
      <c r="F36" s="2" t="s">
        <v>156</v>
      </c>
      <c r="G36" s="3" t="s">
        <v>16</v>
      </c>
      <c r="H36" s="5" t="s">
        <v>33</v>
      </c>
      <c r="I36" s="5" t="s">
        <v>18</v>
      </c>
      <c r="J36" s="6" t="s">
        <v>19</v>
      </c>
      <c r="K36" s="2" t="s">
        <v>93</v>
      </c>
    </row>
    <row r="37" spans="1:11" s="2" customFormat="1" x14ac:dyDescent="0.25">
      <c r="A37" s="2">
        <v>36</v>
      </c>
      <c r="B37" s="2" t="s">
        <v>140</v>
      </c>
      <c r="C37" s="2" t="s">
        <v>141</v>
      </c>
      <c r="D37" s="2" t="s">
        <v>157</v>
      </c>
      <c r="E37" s="2" t="s">
        <v>158</v>
      </c>
      <c r="F37" s="2" t="s">
        <v>159</v>
      </c>
      <c r="G37" s="3" t="s">
        <v>16</v>
      </c>
      <c r="H37" s="5" t="s">
        <v>33</v>
      </c>
      <c r="I37" s="5" t="s">
        <v>18</v>
      </c>
      <c r="J37" s="6" t="s">
        <v>19</v>
      </c>
      <c r="K37" s="2" t="s">
        <v>93</v>
      </c>
    </row>
    <row r="38" spans="1:11" s="2" customFormat="1" x14ac:dyDescent="0.25">
      <c r="A38" s="2">
        <v>37</v>
      </c>
      <c r="B38" s="2" t="s">
        <v>160</v>
      </c>
      <c r="C38" s="2" t="s">
        <v>161</v>
      </c>
      <c r="D38" s="2" t="s">
        <v>162</v>
      </c>
      <c r="E38" s="2" t="s">
        <v>163</v>
      </c>
      <c r="F38" s="2" t="s">
        <v>164</v>
      </c>
      <c r="G38" s="3" t="s">
        <v>16</v>
      </c>
      <c r="H38" s="4" t="s">
        <v>17</v>
      </c>
      <c r="I38" s="5" t="s">
        <v>18</v>
      </c>
      <c r="J38" s="6" t="s">
        <v>19</v>
      </c>
      <c r="K38" s="2" t="s">
        <v>165</v>
      </c>
    </row>
    <row r="39" spans="1:11" s="2" customFormat="1" x14ac:dyDescent="0.25">
      <c r="A39" s="2">
        <v>38</v>
      </c>
      <c r="B39" s="2" t="s">
        <v>160</v>
      </c>
      <c r="C39" s="2" t="s">
        <v>161</v>
      </c>
      <c r="D39" s="2" t="s">
        <v>166</v>
      </c>
      <c r="E39" s="2" t="s">
        <v>167</v>
      </c>
      <c r="F39" s="2" t="s">
        <v>168</v>
      </c>
      <c r="G39" s="3" t="s">
        <v>16</v>
      </c>
      <c r="H39" s="5" t="s">
        <v>33</v>
      </c>
      <c r="I39" s="5" t="s">
        <v>18</v>
      </c>
      <c r="J39" s="6" t="s">
        <v>19</v>
      </c>
      <c r="K39" s="2" t="s">
        <v>169</v>
      </c>
    </row>
    <row r="40" spans="1:11" s="2" customFormat="1" x14ac:dyDescent="0.25">
      <c r="A40" s="2">
        <v>39</v>
      </c>
      <c r="B40" s="2" t="s">
        <v>160</v>
      </c>
      <c r="C40" s="2" t="s">
        <v>170</v>
      </c>
      <c r="D40" s="2" t="s">
        <v>171</v>
      </c>
      <c r="E40" s="2" t="s">
        <v>172</v>
      </c>
      <c r="F40" s="2" t="s">
        <v>173</v>
      </c>
      <c r="G40" s="3" t="s">
        <v>16</v>
      </c>
      <c r="H40" s="4" t="s">
        <v>17</v>
      </c>
      <c r="I40" s="5" t="s">
        <v>18</v>
      </c>
      <c r="J40" s="6" t="s">
        <v>19</v>
      </c>
      <c r="K40" s="2" t="s">
        <v>174</v>
      </c>
    </row>
    <row r="41" spans="1:11" s="2" customFormat="1" x14ac:dyDescent="0.25">
      <c r="A41" s="2">
        <v>40</v>
      </c>
      <c r="B41" s="2" t="s">
        <v>160</v>
      </c>
      <c r="C41" s="2" t="s">
        <v>170</v>
      </c>
      <c r="D41" s="2" t="s">
        <v>175</v>
      </c>
      <c r="E41" s="2" t="s">
        <v>176</v>
      </c>
      <c r="F41" s="2" t="s">
        <v>173</v>
      </c>
      <c r="G41" s="3" t="s">
        <v>16</v>
      </c>
      <c r="H41" s="4" t="s">
        <v>17</v>
      </c>
      <c r="I41" s="5" t="s">
        <v>18</v>
      </c>
      <c r="J41" s="6" t="s">
        <v>19</v>
      </c>
      <c r="K41" s="2" t="s">
        <v>177</v>
      </c>
    </row>
    <row r="42" spans="1:11" s="2" customFormat="1" x14ac:dyDescent="0.25">
      <c r="A42" s="2">
        <v>41</v>
      </c>
      <c r="B42" s="2" t="s">
        <v>160</v>
      </c>
      <c r="C42" s="2" t="s">
        <v>178</v>
      </c>
      <c r="D42" s="2" t="s">
        <v>179</v>
      </c>
      <c r="E42" s="2" t="s">
        <v>180</v>
      </c>
      <c r="F42" s="2" t="s">
        <v>181</v>
      </c>
      <c r="G42" s="3" t="s">
        <v>16</v>
      </c>
      <c r="H42" s="4" t="s">
        <v>17</v>
      </c>
      <c r="I42" s="5" t="s">
        <v>18</v>
      </c>
      <c r="J42" s="6" t="s">
        <v>19</v>
      </c>
      <c r="K42" s="2" t="s">
        <v>182</v>
      </c>
    </row>
    <row r="43" spans="1:11" s="2" customFormat="1" x14ac:dyDescent="0.25">
      <c r="A43" s="2">
        <v>42</v>
      </c>
      <c r="B43" s="2" t="s">
        <v>160</v>
      </c>
      <c r="C43" s="2" t="s">
        <v>178</v>
      </c>
      <c r="D43" s="2" t="s">
        <v>183</v>
      </c>
      <c r="E43" s="2" t="s">
        <v>184</v>
      </c>
      <c r="F43" s="2" t="s">
        <v>185</v>
      </c>
      <c r="G43" s="3" t="s">
        <v>16</v>
      </c>
      <c r="H43" s="4" t="s">
        <v>17</v>
      </c>
      <c r="I43" s="5" t="s">
        <v>18</v>
      </c>
      <c r="J43" s="6" t="s">
        <v>19</v>
      </c>
      <c r="K43" s="2" t="s">
        <v>93</v>
      </c>
    </row>
    <row r="44" spans="1:11" s="2" customFormat="1" x14ac:dyDescent="0.25">
      <c r="A44" s="2">
        <v>43</v>
      </c>
      <c r="B44" s="2" t="s">
        <v>160</v>
      </c>
      <c r="C44" s="2" t="s">
        <v>178</v>
      </c>
      <c r="D44" s="2" t="s">
        <v>186</v>
      </c>
      <c r="E44" s="2" t="s">
        <v>187</v>
      </c>
      <c r="F44" s="2" t="s">
        <v>188</v>
      </c>
      <c r="G44" s="3" t="s">
        <v>16</v>
      </c>
      <c r="H44" s="4" t="s">
        <v>17</v>
      </c>
      <c r="I44" s="5" t="s">
        <v>18</v>
      </c>
      <c r="J44" s="6" t="s">
        <v>19</v>
      </c>
      <c r="K44" s="2" t="s">
        <v>93</v>
      </c>
    </row>
    <row r="45" spans="1:11" s="2" customFormat="1" x14ac:dyDescent="0.25">
      <c r="A45" s="2">
        <v>44</v>
      </c>
      <c r="B45" s="2" t="s">
        <v>160</v>
      </c>
      <c r="C45" s="2" t="s">
        <v>178</v>
      </c>
      <c r="D45" s="2" t="s">
        <v>189</v>
      </c>
      <c r="E45" s="2" t="s">
        <v>190</v>
      </c>
      <c r="F45" s="2" t="s">
        <v>191</v>
      </c>
      <c r="G45" s="3" t="s">
        <v>16</v>
      </c>
      <c r="H45" s="4" t="s">
        <v>17</v>
      </c>
      <c r="I45" s="5" t="s">
        <v>18</v>
      </c>
      <c r="J45" s="6" t="s">
        <v>19</v>
      </c>
      <c r="K45" s="2" t="s">
        <v>93</v>
      </c>
    </row>
    <row r="46" spans="1:11" s="2" customFormat="1" x14ac:dyDescent="0.25">
      <c r="A46" s="2">
        <v>45</v>
      </c>
      <c r="B46" s="2" t="s">
        <v>160</v>
      </c>
      <c r="C46" s="2" t="s">
        <v>192</v>
      </c>
      <c r="D46" s="2" t="s">
        <v>193</v>
      </c>
      <c r="E46" s="2" t="s">
        <v>194</v>
      </c>
      <c r="F46" s="2" t="s">
        <v>195</v>
      </c>
      <c r="G46" s="3" t="s">
        <v>16</v>
      </c>
      <c r="H46" s="4" t="s">
        <v>17</v>
      </c>
      <c r="I46" s="7" t="s">
        <v>26</v>
      </c>
      <c r="J46" s="6" t="s">
        <v>19</v>
      </c>
      <c r="K46" s="2" t="s">
        <v>196</v>
      </c>
    </row>
    <row r="47" spans="1:11" s="2" customFormat="1" x14ac:dyDescent="0.25">
      <c r="A47" s="2">
        <v>46</v>
      </c>
      <c r="B47" s="2" t="s">
        <v>160</v>
      </c>
      <c r="C47" s="2" t="s">
        <v>192</v>
      </c>
      <c r="D47" s="2" t="s">
        <v>197</v>
      </c>
      <c r="E47" s="2" t="s">
        <v>198</v>
      </c>
      <c r="F47" s="2" t="s">
        <v>199</v>
      </c>
      <c r="G47" s="3" t="s">
        <v>16</v>
      </c>
      <c r="H47" s="5" t="s">
        <v>33</v>
      </c>
      <c r="I47" s="7" t="s">
        <v>26</v>
      </c>
      <c r="J47" s="6" t="s">
        <v>19</v>
      </c>
      <c r="K47" s="2" t="s">
        <v>200</v>
      </c>
    </row>
    <row r="48" spans="1:11" s="2" customFormat="1" x14ac:dyDescent="0.25">
      <c r="A48" s="2">
        <v>47</v>
      </c>
      <c r="B48" s="2" t="s">
        <v>160</v>
      </c>
      <c r="C48" s="2" t="s">
        <v>201</v>
      </c>
      <c r="D48" s="2" t="s">
        <v>202</v>
      </c>
      <c r="E48" s="2" t="s">
        <v>203</v>
      </c>
      <c r="F48" s="2" t="s">
        <v>204</v>
      </c>
      <c r="G48" s="3" t="s">
        <v>16</v>
      </c>
      <c r="H48" s="4" t="s">
        <v>17</v>
      </c>
      <c r="I48" s="7" t="s">
        <v>26</v>
      </c>
      <c r="J48" s="6" t="s">
        <v>19</v>
      </c>
      <c r="K48" s="2" t="s">
        <v>205</v>
      </c>
    </row>
    <row r="49" spans="1:11" s="2" customFormat="1" x14ac:dyDescent="0.25">
      <c r="A49" s="2">
        <v>48</v>
      </c>
      <c r="B49" s="2" t="s">
        <v>160</v>
      </c>
      <c r="C49" s="2" t="s">
        <v>201</v>
      </c>
      <c r="D49" s="2" t="s">
        <v>206</v>
      </c>
      <c r="E49" s="2" t="s">
        <v>207</v>
      </c>
      <c r="F49" s="2" t="s">
        <v>208</v>
      </c>
      <c r="G49" s="3" t="s">
        <v>16</v>
      </c>
      <c r="H49" s="4" t="s">
        <v>17</v>
      </c>
      <c r="I49" s="5" t="s">
        <v>18</v>
      </c>
      <c r="J49" s="6" t="s">
        <v>19</v>
      </c>
      <c r="K49" s="2" t="s">
        <v>209</v>
      </c>
    </row>
    <row r="50" spans="1:11" s="2" customFormat="1" x14ac:dyDescent="0.25">
      <c r="A50" s="2">
        <v>49</v>
      </c>
      <c r="B50" s="2" t="s">
        <v>160</v>
      </c>
      <c r="C50" s="2" t="s">
        <v>201</v>
      </c>
      <c r="D50" s="2" t="s">
        <v>210</v>
      </c>
      <c r="E50" s="2" t="s">
        <v>211</v>
      </c>
      <c r="F50" s="2" t="s">
        <v>212</v>
      </c>
      <c r="G50" s="3" t="s">
        <v>16</v>
      </c>
      <c r="H50" s="5" t="s">
        <v>33</v>
      </c>
      <c r="I50" s="5" t="s">
        <v>18</v>
      </c>
      <c r="J50" s="6" t="s">
        <v>19</v>
      </c>
      <c r="K50" s="2" t="s">
        <v>213</v>
      </c>
    </row>
    <row r="51" spans="1:11" s="2" customFormat="1" x14ac:dyDescent="0.25">
      <c r="A51" s="2">
        <v>50</v>
      </c>
      <c r="B51" s="2" t="s">
        <v>214</v>
      </c>
      <c r="C51" s="2" t="s">
        <v>215</v>
      </c>
      <c r="D51" s="2" t="s">
        <v>216</v>
      </c>
      <c r="E51" s="2" t="s">
        <v>217</v>
      </c>
      <c r="F51" s="2" t="s">
        <v>218</v>
      </c>
      <c r="G51" s="3" t="s">
        <v>16</v>
      </c>
      <c r="H51" s="4" t="s">
        <v>17</v>
      </c>
      <c r="I51" s="7" t="s">
        <v>26</v>
      </c>
      <c r="J51" s="6" t="s">
        <v>19</v>
      </c>
      <c r="K51" s="2" t="s">
        <v>219</v>
      </c>
    </row>
    <row r="52" spans="1:11" s="2" customFormat="1" x14ac:dyDescent="0.25">
      <c r="A52" s="2">
        <v>51</v>
      </c>
      <c r="B52" s="2" t="s">
        <v>214</v>
      </c>
      <c r="C52" s="2" t="s">
        <v>215</v>
      </c>
      <c r="D52" s="2" t="s">
        <v>220</v>
      </c>
      <c r="E52" s="2" t="s">
        <v>221</v>
      </c>
      <c r="F52" s="2" t="s">
        <v>222</v>
      </c>
      <c r="G52" s="3" t="s">
        <v>16</v>
      </c>
      <c r="H52" s="4" t="s">
        <v>17</v>
      </c>
      <c r="I52" s="5" t="s">
        <v>18</v>
      </c>
      <c r="J52" s="6" t="s">
        <v>19</v>
      </c>
      <c r="K52" s="2" t="s">
        <v>223</v>
      </c>
    </row>
    <row r="53" spans="1:11" s="2" customFormat="1" x14ac:dyDescent="0.25">
      <c r="A53" s="2">
        <v>52</v>
      </c>
      <c r="B53" s="2" t="s">
        <v>214</v>
      </c>
      <c r="C53" s="2" t="s">
        <v>224</v>
      </c>
      <c r="D53" s="2" t="s">
        <v>225</v>
      </c>
      <c r="E53" s="2" t="s">
        <v>226</v>
      </c>
      <c r="F53" s="2" t="s">
        <v>218</v>
      </c>
      <c r="G53" s="3" t="s">
        <v>16</v>
      </c>
      <c r="H53" s="7" t="s">
        <v>227</v>
      </c>
      <c r="I53" s="7" t="s">
        <v>26</v>
      </c>
      <c r="J53" s="6" t="s">
        <v>19</v>
      </c>
      <c r="K53" s="2" t="s">
        <v>228</v>
      </c>
    </row>
    <row r="54" spans="1:11" s="2" customFormat="1" x14ac:dyDescent="0.25">
      <c r="A54" s="2">
        <v>53</v>
      </c>
      <c r="B54" s="2" t="s">
        <v>214</v>
      </c>
      <c r="C54" s="2" t="s">
        <v>224</v>
      </c>
      <c r="D54" s="2" t="s">
        <v>229</v>
      </c>
      <c r="E54" s="2" t="s">
        <v>230</v>
      </c>
      <c r="F54" s="2" t="s">
        <v>231</v>
      </c>
      <c r="G54" s="3" t="s">
        <v>16</v>
      </c>
      <c r="H54" s="5" t="s">
        <v>33</v>
      </c>
      <c r="I54" s="7" t="s">
        <v>26</v>
      </c>
      <c r="J54" s="6" t="s">
        <v>19</v>
      </c>
      <c r="K54" s="2" t="s">
        <v>223</v>
      </c>
    </row>
    <row r="55" spans="1:11" s="2" customFormat="1" x14ac:dyDescent="0.25">
      <c r="A55" s="2">
        <v>54</v>
      </c>
      <c r="B55" s="2" t="s">
        <v>214</v>
      </c>
      <c r="C55" s="2" t="s">
        <v>224</v>
      </c>
      <c r="D55" s="2" t="s">
        <v>232</v>
      </c>
      <c r="E55" s="2" t="s">
        <v>233</v>
      </c>
      <c r="F55" s="2" t="s">
        <v>231</v>
      </c>
      <c r="G55" s="3" t="s">
        <v>16</v>
      </c>
      <c r="H55" s="5" t="s">
        <v>33</v>
      </c>
      <c r="I55" s="7" t="s">
        <v>26</v>
      </c>
      <c r="J55" s="6" t="s">
        <v>19</v>
      </c>
      <c r="K55" s="2" t="s">
        <v>223</v>
      </c>
    </row>
    <row r="56" spans="1:11" s="2" customFormat="1" x14ac:dyDescent="0.25">
      <c r="A56" s="2">
        <v>55</v>
      </c>
      <c r="B56" s="2" t="s">
        <v>214</v>
      </c>
      <c r="C56" s="2" t="s">
        <v>224</v>
      </c>
      <c r="D56" s="2" t="s">
        <v>234</v>
      </c>
      <c r="E56" s="2" t="s">
        <v>235</v>
      </c>
      <c r="F56" s="2" t="s">
        <v>236</v>
      </c>
      <c r="G56" s="3" t="s">
        <v>16</v>
      </c>
      <c r="H56" s="7" t="s">
        <v>227</v>
      </c>
      <c r="I56" s="7" t="s">
        <v>26</v>
      </c>
      <c r="J56" s="6" t="s">
        <v>19</v>
      </c>
      <c r="K56" s="2" t="s">
        <v>237</v>
      </c>
    </row>
    <row r="57" spans="1:11" s="2" customFormat="1" x14ac:dyDescent="0.25">
      <c r="A57" s="2">
        <v>56</v>
      </c>
      <c r="B57" s="2" t="s">
        <v>214</v>
      </c>
      <c r="C57" s="2" t="s">
        <v>224</v>
      </c>
      <c r="D57" s="2" t="s">
        <v>238</v>
      </c>
      <c r="E57" s="2" t="s">
        <v>239</v>
      </c>
      <c r="F57" s="2" t="s">
        <v>240</v>
      </c>
      <c r="G57" s="3" t="s">
        <v>16</v>
      </c>
      <c r="H57" s="7" t="s">
        <v>227</v>
      </c>
      <c r="I57" s="7" t="s">
        <v>26</v>
      </c>
      <c r="J57" s="6" t="s">
        <v>19</v>
      </c>
      <c r="K57" s="2" t="s">
        <v>241</v>
      </c>
    </row>
    <row r="58" spans="1:11" s="2" customFormat="1" x14ac:dyDescent="0.25">
      <c r="A58" s="2">
        <v>57</v>
      </c>
      <c r="B58" s="2" t="s">
        <v>214</v>
      </c>
      <c r="C58" s="2" t="s">
        <v>224</v>
      </c>
      <c r="D58" s="2" t="s">
        <v>242</v>
      </c>
      <c r="E58" s="2" t="s">
        <v>243</v>
      </c>
      <c r="F58" s="2" t="s">
        <v>244</v>
      </c>
      <c r="G58" s="3" t="s">
        <v>16</v>
      </c>
      <c r="H58" s="8" t="s">
        <v>48</v>
      </c>
      <c r="I58" s="8" t="s">
        <v>49</v>
      </c>
      <c r="J58" s="6" t="s">
        <v>19</v>
      </c>
      <c r="K58" s="2" t="s">
        <v>245</v>
      </c>
    </row>
    <row r="59" spans="1:11" s="2" customFormat="1" x14ac:dyDescent="0.25">
      <c r="A59" s="2">
        <v>58</v>
      </c>
      <c r="B59" s="2" t="s">
        <v>214</v>
      </c>
      <c r="C59" s="2" t="s">
        <v>224</v>
      </c>
      <c r="D59" s="2" t="s">
        <v>246</v>
      </c>
      <c r="E59" s="2" t="s">
        <v>247</v>
      </c>
      <c r="F59" s="2" t="s">
        <v>248</v>
      </c>
      <c r="G59" s="3" t="s">
        <v>16</v>
      </c>
      <c r="H59" s="7" t="s">
        <v>227</v>
      </c>
      <c r="I59" s="7" t="s">
        <v>26</v>
      </c>
      <c r="J59" s="6" t="s">
        <v>19</v>
      </c>
      <c r="K59" s="2" t="s">
        <v>249</v>
      </c>
    </row>
    <row r="60" spans="1:11" s="2" customFormat="1" x14ac:dyDescent="0.25">
      <c r="A60" s="2">
        <v>59</v>
      </c>
      <c r="B60" s="2" t="s">
        <v>214</v>
      </c>
      <c r="C60" s="2" t="s">
        <v>224</v>
      </c>
      <c r="D60" s="2" t="s">
        <v>250</v>
      </c>
      <c r="E60" s="2" t="s">
        <v>251</v>
      </c>
      <c r="F60" s="2" t="s">
        <v>252</v>
      </c>
      <c r="G60" s="3" t="s">
        <v>16</v>
      </c>
      <c r="H60" s="7" t="s">
        <v>227</v>
      </c>
      <c r="I60" s="7" t="s">
        <v>26</v>
      </c>
      <c r="J60" s="6" t="s">
        <v>19</v>
      </c>
      <c r="K60" s="2" t="s">
        <v>253</v>
      </c>
    </row>
    <row r="61" spans="1:11" s="2" customFormat="1" x14ac:dyDescent="0.25">
      <c r="A61" s="2">
        <v>60</v>
      </c>
      <c r="B61" s="2" t="s">
        <v>254</v>
      </c>
      <c r="C61" s="2" t="s">
        <v>255</v>
      </c>
      <c r="D61" s="2" t="s">
        <v>256</v>
      </c>
      <c r="E61" s="2" t="s">
        <v>257</v>
      </c>
      <c r="F61" s="2" t="s">
        <v>258</v>
      </c>
      <c r="G61" s="3" t="s">
        <v>16</v>
      </c>
      <c r="H61" s="7" t="s">
        <v>227</v>
      </c>
      <c r="I61" s="7" t="s">
        <v>26</v>
      </c>
      <c r="J61" s="6" t="s">
        <v>19</v>
      </c>
      <c r="K61" s="2" t="s">
        <v>259</v>
      </c>
    </row>
    <row r="62" spans="1:11" s="2" customFormat="1" x14ac:dyDescent="0.25">
      <c r="A62" s="2">
        <v>61</v>
      </c>
      <c r="B62" s="2" t="s">
        <v>254</v>
      </c>
      <c r="C62" s="2" t="s">
        <v>260</v>
      </c>
      <c r="D62" s="2" t="s">
        <v>261</v>
      </c>
      <c r="E62" s="2" t="s">
        <v>262</v>
      </c>
      <c r="F62" s="2" t="s">
        <v>258</v>
      </c>
      <c r="G62" s="3" t="s">
        <v>16</v>
      </c>
      <c r="H62" s="7" t="s">
        <v>227</v>
      </c>
      <c r="I62" s="7" t="s">
        <v>26</v>
      </c>
      <c r="J62" s="6" t="s">
        <v>19</v>
      </c>
      <c r="K62" s="2" t="s">
        <v>263</v>
      </c>
    </row>
    <row r="63" spans="1:11" s="2" customFormat="1" x14ac:dyDescent="0.25">
      <c r="A63" s="2">
        <v>62</v>
      </c>
      <c r="B63" s="2" t="s">
        <v>254</v>
      </c>
      <c r="C63" s="2" t="s">
        <v>264</v>
      </c>
      <c r="D63" s="2" t="s">
        <v>265</v>
      </c>
      <c r="E63" s="2" t="s">
        <v>266</v>
      </c>
      <c r="F63" s="2" t="s">
        <v>258</v>
      </c>
      <c r="G63" s="3" t="s">
        <v>16</v>
      </c>
      <c r="H63" s="7" t="s">
        <v>227</v>
      </c>
      <c r="I63" s="5" t="s">
        <v>18</v>
      </c>
      <c r="J63" s="6" t="s">
        <v>19</v>
      </c>
      <c r="K63" s="2" t="s">
        <v>267</v>
      </c>
    </row>
    <row r="64" spans="1:11" s="2" customFormat="1" x14ac:dyDescent="0.25">
      <c r="A64" s="2">
        <v>63</v>
      </c>
      <c r="B64" s="2" t="s">
        <v>254</v>
      </c>
      <c r="C64" s="2" t="s">
        <v>264</v>
      </c>
      <c r="D64" s="2" t="s">
        <v>268</v>
      </c>
      <c r="E64" s="2" t="s">
        <v>269</v>
      </c>
      <c r="F64" s="2" t="s">
        <v>258</v>
      </c>
      <c r="G64" s="3" t="s">
        <v>16</v>
      </c>
      <c r="H64" s="7" t="s">
        <v>227</v>
      </c>
      <c r="I64" s="5" t="s">
        <v>18</v>
      </c>
      <c r="J64" s="6" t="s">
        <v>19</v>
      </c>
      <c r="K64" s="2" t="s">
        <v>270</v>
      </c>
    </row>
    <row r="65" spans="1:11" s="2" customFormat="1" x14ac:dyDescent="0.25">
      <c r="A65" s="2">
        <v>64</v>
      </c>
      <c r="B65" s="2" t="s">
        <v>271</v>
      </c>
      <c r="C65" s="2" t="s">
        <v>272</v>
      </c>
      <c r="D65" s="2" t="s">
        <v>273</v>
      </c>
      <c r="E65" s="2" t="s">
        <v>274</v>
      </c>
      <c r="F65" s="2" t="s">
        <v>275</v>
      </c>
      <c r="G65" s="3" t="s">
        <v>16</v>
      </c>
      <c r="H65" s="8" t="s">
        <v>48</v>
      </c>
      <c r="I65" s="8" t="s">
        <v>49</v>
      </c>
      <c r="J65" s="6" t="s">
        <v>19</v>
      </c>
      <c r="K65" s="2" t="s">
        <v>276</v>
      </c>
    </row>
    <row r="66" spans="1:11" s="2" customFormat="1" x14ac:dyDescent="0.25">
      <c r="A66" s="2">
        <v>65</v>
      </c>
      <c r="B66" s="2" t="s">
        <v>271</v>
      </c>
      <c r="C66" s="2" t="s">
        <v>277</v>
      </c>
      <c r="D66" s="2" t="s">
        <v>278</v>
      </c>
      <c r="E66" s="2" t="s">
        <v>279</v>
      </c>
      <c r="F66" s="2" t="s">
        <v>280</v>
      </c>
      <c r="G66" s="3" t="s">
        <v>16</v>
      </c>
      <c r="H66" s="8" t="s">
        <v>48</v>
      </c>
      <c r="I66" s="8" t="s">
        <v>49</v>
      </c>
      <c r="J66" s="6" t="s">
        <v>19</v>
      </c>
      <c r="K66" s="2" t="s">
        <v>281</v>
      </c>
    </row>
    <row r="67" spans="1:11" s="2" customFormat="1" x14ac:dyDescent="0.25">
      <c r="A67" s="2">
        <v>66</v>
      </c>
      <c r="B67" s="2" t="s">
        <v>271</v>
      </c>
      <c r="C67" s="2" t="s">
        <v>282</v>
      </c>
      <c r="D67" s="2" t="s">
        <v>283</v>
      </c>
      <c r="E67" s="2" t="s">
        <v>284</v>
      </c>
      <c r="F67" s="2" t="s">
        <v>285</v>
      </c>
      <c r="G67" s="3" t="s">
        <v>16</v>
      </c>
      <c r="H67" s="7" t="s">
        <v>227</v>
      </c>
      <c r="I67" s="7" t="s">
        <v>26</v>
      </c>
      <c r="J67" s="6" t="s">
        <v>19</v>
      </c>
      <c r="K67" s="2" t="s">
        <v>286</v>
      </c>
    </row>
    <row r="68" spans="1:11" s="2" customFormat="1" x14ac:dyDescent="0.25">
      <c r="A68" s="2">
        <v>67</v>
      </c>
      <c r="B68" s="2" t="s">
        <v>287</v>
      </c>
      <c r="C68" s="2" t="s">
        <v>288</v>
      </c>
      <c r="D68" s="2" t="s">
        <v>289</v>
      </c>
      <c r="E68" s="2" t="s">
        <v>290</v>
      </c>
      <c r="F68" s="2" t="s">
        <v>291</v>
      </c>
      <c r="G68" s="3" t="s">
        <v>16</v>
      </c>
      <c r="H68" s="5" t="s">
        <v>33</v>
      </c>
      <c r="I68" s="7" t="s">
        <v>26</v>
      </c>
      <c r="J68" s="6" t="s">
        <v>19</v>
      </c>
      <c r="K68" s="2" t="s">
        <v>223</v>
      </c>
    </row>
    <row r="69" spans="1:11" s="2" customFormat="1" x14ac:dyDescent="0.25">
      <c r="A69" s="2">
        <v>68</v>
      </c>
      <c r="B69" s="2" t="s">
        <v>287</v>
      </c>
      <c r="C69" s="2" t="s">
        <v>292</v>
      </c>
      <c r="D69" s="2" t="s">
        <v>293</v>
      </c>
      <c r="E69" s="2" t="s">
        <v>294</v>
      </c>
      <c r="F69" s="2" t="s">
        <v>295</v>
      </c>
      <c r="G69" s="3" t="s">
        <v>16</v>
      </c>
      <c r="H69" s="5" t="s">
        <v>33</v>
      </c>
      <c r="I69" s="7" t="s">
        <v>26</v>
      </c>
      <c r="J69" s="6" t="s">
        <v>19</v>
      </c>
      <c r="K69" s="2" t="s">
        <v>223</v>
      </c>
    </row>
    <row r="70" spans="1:11" s="2" customFormat="1" x14ac:dyDescent="0.25">
      <c r="A70" s="2">
        <v>69</v>
      </c>
      <c r="B70" s="2" t="s">
        <v>287</v>
      </c>
      <c r="C70" s="2" t="s">
        <v>296</v>
      </c>
      <c r="D70" s="2" t="s">
        <v>297</v>
      </c>
      <c r="E70" s="2" t="s">
        <v>298</v>
      </c>
      <c r="F70" s="2" t="s">
        <v>299</v>
      </c>
      <c r="G70" s="3" t="s">
        <v>16</v>
      </c>
      <c r="H70" s="7" t="s">
        <v>227</v>
      </c>
      <c r="I70" s="8" t="s">
        <v>49</v>
      </c>
      <c r="J70" s="6" t="s">
        <v>19</v>
      </c>
      <c r="K70" s="2" t="s">
        <v>300</v>
      </c>
    </row>
    <row r="71" spans="1:11" s="2" customFormat="1" x14ac:dyDescent="0.25">
      <c r="A71" s="2">
        <v>70</v>
      </c>
      <c r="B71" s="2" t="s">
        <v>287</v>
      </c>
      <c r="C71" s="2" t="s">
        <v>296</v>
      </c>
      <c r="D71" s="2" t="s">
        <v>301</v>
      </c>
      <c r="E71" s="2" t="s">
        <v>302</v>
      </c>
      <c r="F71" s="2" t="s">
        <v>303</v>
      </c>
      <c r="G71" s="3" t="s">
        <v>16</v>
      </c>
      <c r="H71" s="7" t="s">
        <v>227</v>
      </c>
      <c r="I71" s="7" t="s">
        <v>26</v>
      </c>
      <c r="J71" s="6" t="s">
        <v>19</v>
      </c>
      <c r="K71" s="2" t="s">
        <v>304</v>
      </c>
    </row>
    <row r="72" spans="1:11" s="2" customFormat="1" x14ac:dyDescent="0.25">
      <c r="A72" s="2">
        <v>71</v>
      </c>
      <c r="B72" s="2" t="s">
        <v>305</v>
      </c>
      <c r="C72" s="2" t="s">
        <v>201</v>
      </c>
      <c r="D72" s="2" t="s">
        <v>306</v>
      </c>
      <c r="E72" s="2" t="s">
        <v>307</v>
      </c>
      <c r="F72" s="2" t="s">
        <v>308</v>
      </c>
      <c r="G72" s="3" t="s">
        <v>16</v>
      </c>
      <c r="H72" s="5" t="s">
        <v>33</v>
      </c>
      <c r="I72" s="5" t="s">
        <v>18</v>
      </c>
      <c r="J72" s="6" t="s">
        <v>19</v>
      </c>
      <c r="K72" s="2" t="s">
        <v>223</v>
      </c>
    </row>
    <row r="73" spans="1:11" s="2" customFormat="1" x14ac:dyDescent="0.25">
      <c r="A73" s="2">
        <v>72</v>
      </c>
      <c r="B73" s="2" t="s">
        <v>305</v>
      </c>
      <c r="C73" s="2" t="s">
        <v>201</v>
      </c>
      <c r="D73" s="2" t="s">
        <v>309</v>
      </c>
      <c r="E73" s="2" t="s">
        <v>310</v>
      </c>
      <c r="F73" s="2" t="s">
        <v>311</v>
      </c>
      <c r="G73" s="3" t="s">
        <v>16</v>
      </c>
      <c r="H73" s="5" t="s">
        <v>33</v>
      </c>
      <c r="I73" s="5" t="s">
        <v>18</v>
      </c>
      <c r="J73" s="6" t="s">
        <v>19</v>
      </c>
      <c r="K73" s="2" t="s">
        <v>312</v>
      </c>
    </row>
    <row r="74" spans="1:11" s="2" customFormat="1" x14ac:dyDescent="0.25">
      <c r="A74" s="2">
        <v>73</v>
      </c>
      <c r="B74" s="2" t="s">
        <v>305</v>
      </c>
      <c r="C74" s="2" t="s">
        <v>161</v>
      </c>
      <c r="D74" s="2" t="s">
        <v>313</v>
      </c>
      <c r="E74" s="2" t="s">
        <v>314</v>
      </c>
      <c r="F74" s="2" t="s">
        <v>315</v>
      </c>
      <c r="G74" s="3" t="s">
        <v>16</v>
      </c>
      <c r="H74" s="5" t="s">
        <v>33</v>
      </c>
      <c r="I74" s="5" t="s">
        <v>18</v>
      </c>
      <c r="J74" s="6" t="s">
        <v>19</v>
      </c>
      <c r="K74" s="2" t="s">
        <v>316</v>
      </c>
    </row>
    <row r="75" spans="1:11" s="2" customFormat="1" x14ac:dyDescent="0.25">
      <c r="A75" s="2">
        <v>74</v>
      </c>
      <c r="B75" s="2" t="s">
        <v>305</v>
      </c>
      <c r="C75" s="2" t="s">
        <v>161</v>
      </c>
      <c r="D75" s="2" t="s">
        <v>317</v>
      </c>
      <c r="E75" s="2" t="s">
        <v>318</v>
      </c>
      <c r="F75" s="2" t="s">
        <v>319</v>
      </c>
      <c r="G75" s="3" t="s">
        <v>16</v>
      </c>
      <c r="H75" s="5" t="s">
        <v>33</v>
      </c>
      <c r="I75" s="5" t="s">
        <v>18</v>
      </c>
      <c r="J75" s="6" t="s">
        <v>19</v>
      </c>
      <c r="K75" s="2" t="s">
        <v>316</v>
      </c>
    </row>
    <row r="76" spans="1:11" s="2" customFormat="1" x14ac:dyDescent="0.25">
      <c r="A76" s="2">
        <v>75</v>
      </c>
      <c r="B76" s="2" t="s">
        <v>305</v>
      </c>
      <c r="C76" s="2" t="s">
        <v>320</v>
      </c>
      <c r="D76" s="2" t="s">
        <v>321</v>
      </c>
      <c r="E76" s="2" t="s">
        <v>322</v>
      </c>
      <c r="F76" s="2" t="s">
        <v>323</v>
      </c>
      <c r="G76" s="3" t="s">
        <v>16</v>
      </c>
      <c r="H76" s="5" t="s">
        <v>33</v>
      </c>
      <c r="I76" s="5" t="s">
        <v>18</v>
      </c>
      <c r="J76" s="6" t="s">
        <v>19</v>
      </c>
      <c r="K76" s="2" t="s">
        <v>165</v>
      </c>
    </row>
    <row r="77" spans="1:11" s="2" customFormat="1" x14ac:dyDescent="0.25">
      <c r="A77" s="2">
        <v>76</v>
      </c>
      <c r="B77" s="2" t="s">
        <v>305</v>
      </c>
      <c r="C77" s="2" t="s">
        <v>292</v>
      </c>
      <c r="D77" s="2" t="s">
        <v>324</v>
      </c>
      <c r="E77" s="2" t="s">
        <v>325</v>
      </c>
      <c r="F77" s="2" t="s">
        <v>326</v>
      </c>
      <c r="G77" s="3" t="s">
        <v>16</v>
      </c>
      <c r="H77" s="5" t="s">
        <v>33</v>
      </c>
      <c r="I77" s="5" t="s">
        <v>18</v>
      </c>
      <c r="J77" s="6" t="s">
        <v>19</v>
      </c>
      <c r="K77" s="2" t="s">
        <v>327</v>
      </c>
    </row>
    <row r="78" spans="1:11" s="2" customFormat="1" x14ac:dyDescent="0.25">
      <c r="A78" s="2">
        <v>77</v>
      </c>
      <c r="B78" s="2" t="s">
        <v>305</v>
      </c>
      <c r="C78" s="2" t="s">
        <v>292</v>
      </c>
      <c r="D78" s="2" t="s">
        <v>328</v>
      </c>
      <c r="E78" s="2" t="s">
        <v>329</v>
      </c>
      <c r="F78" s="2" t="s">
        <v>330</v>
      </c>
      <c r="G78" s="3" t="s">
        <v>16</v>
      </c>
      <c r="H78" s="5" t="s">
        <v>33</v>
      </c>
      <c r="I78" s="5" t="s">
        <v>18</v>
      </c>
      <c r="J78" s="6" t="s">
        <v>19</v>
      </c>
      <c r="K78" s="2" t="s">
        <v>165</v>
      </c>
    </row>
    <row r="79" spans="1:11" s="2" customFormat="1" x14ac:dyDescent="0.25">
      <c r="A79" s="2">
        <v>78</v>
      </c>
      <c r="B79" s="2" t="s">
        <v>320</v>
      </c>
      <c r="C79" s="2" t="s">
        <v>51</v>
      </c>
      <c r="D79" s="2" t="s">
        <v>331</v>
      </c>
      <c r="E79" s="2" t="s">
        <v>332</v>
      </c>
      <c r="F79" s="2" t="s">
        <v>333</v>
      </c>
      <c r="G79" s="3" t="s">
        <v>16</v>
      </c>
      <c r="H79" s="5" t="s">
        <v>33</v>
      </c>
      <c r="I79" s="5" t="s">
        <v>18</v>
      </c>
      <c r="J79" s="6" t="s">
        <v>19</v>
      </c>
      <c r="K79" s="2" t="s">
        <v>334</v>
      </c>
    </row>
    <row r="80" spans="1:11" s="2" customFormat="1" x14ac:dyDescent="0.25">
      <c r="A80" s="2">
        <v>79</v>
      </c>
      <c r="B80" s="2" t="s">
        <v>320</v>
      </c>
      <c r="C80" s="2" t="s">
        <v>51</v>
      </c>
      <c r="D80" s="2" t="s">
        <v>335</v>
      </c>
      <c r="E80" s="2" t="s">
        <v>336</v>
      </c>
      <c r="F80" s="2" t="s">
        <v>333</v>
      </c>
      <c r="G80" s="3" t="s">
        <v>16</v>
      </c>
      <c r="H80" s="5" t="s">
        <v>33</v>
      </c>
      <c r="I80" s="5" t="s">
        <v>18</v>
      </c>
      <c r="J80" s="6" t="s">
        <v>19</v>
      </c>
      <c r="K80" s="2" t="s">
        <v>334</v>
      </c>
    </row>
    <row r="81" spans="1:11" s="2" customFormat="1" x14ac:dyDescent="0.25">
      <c r="A81" s="2">
        <v>80</v>
      </c>
      <c r="B81" s="2" t="s">
        <v>320</v>
      </c>
      <c r="C81" s="2" t="s">
        <v>201</v>
      </c>
      <c r="D81" s="2" t="s">
        <v>337</v>
      </c>
      <c r="E81" s="2" t="s">
        <v>338</v>
      </c>
      <c r="F81" s="2" t="s">
        <v>339</v>
      </c>
      <c r="G81" s="3" t="s">
        <v>16</v>
      </c>
      <c r="H81" s="5" t="s">
        <v>33</v>
      </c>
      <c r="I81" s="5" t="s">
        <v>18</v>
      </c>
      <c r="J81" s="6" t="s">
        <v>19</v>
      </c>
      <c r="K81" s="2" t="s">
        <v>223</v>
      </c>
    </row>
    <row r="82" spans="1:11" s="2" customFormat="1" x14ac:dyDescent="0.25">
      <c r="A82" s="2">
        <v>81</v>
      </c>
      <c r="B82" s="2" t="s">
        <v>320</v>
      </c>
      <c r="C82" s="2" t="s">
        <v>201</v>
      </c>
      <c r="D82" s="2" t="s">
        <v>340</v>
      </c>
      <c r="E82" s="2" t="s">
        <v>341</v>
      </c>
      <c r="F82" s="2" t="s">
        <v>342</v>
      </c>
      <c r="G82" s="3" t="s">
        <v>16</v>
      </c>
      <c r="H82" s="5" t="s">
        <v>33</v>
      </c>
      <c r="I82" s="7" t="s">
        <v>26</v>
      </c>
      <c r="J82" s="6" t="s">
        <v>19</v>
      </c>
      <c r="K82" s="2" t="s">
        <v>343</v>
      </c>
    </row>
    <row r="83" spans="1:11" s="2" customFormat="1" x14ac:dyDescent="0.25">
      <c r="A83" s="2">
        <v>82</v>
      </c>
      <c r="B83" s="2" t="s">
        <v>344</v>
      </c>
      <c r="C83" s="2" t="s">
        <v>345</v>
      </c>
      <c r="D83" s="2" t="s">
        <v>346</v>
      </c>
      <c r="E83" s="2" t="s">
        <v>347</v>
      </c>
      <c r="F83" s="2" t="s">
        <v>348</v>
      </c>
      <c r="G83" s="3" t="s">
        <v>16</v>
      </c>
      <c r="H83" s="5" t="s">
        <v>33</v>
      </c>
      <c r="I83" s="5" t="s">
        <v>18</v>
      </c>
      <c r="J83" s="6" t="s">
        <v>19</v>
      </c>
      <c r="K83" s="2" t="s">
        <v>349</v>
      </c>
    </row>
    <row r="84" spans="1:11" s="2" customFormat="1" x14ac:dyDescent="0.25">
      <c r="A84" s="2">
        <v>83</v>
      </c>
      <c r="B84" s="2" t="s">
        <v>344</v>
      </c>
      <c r="C84" s="2" t="s">
        <v>51</v>
      </c>
      <c r="D84" s="2" t="s">
        <v>350</v>
      </c>
      <c r="E84" s="2" t="s">
        <v>351</v>
      </c>
      <c r="F84" s="2" t="s">
        <v>352</v>
      </c>
      <c r="G84" s="3" t="s">
        <v>16</v>
      </c>
      <c r="H84" s="5" t="s">
        <v>33</v>
      </c>
      <c r="I84" s="5" t="s">
        <v>18</v>
      </c>
      <c r="J84" s="6" t="s">
        <v>19</v>
      </c>
      <c r="K84" s="2" t="s">
        <v>165</v>
      </c>
    </row>
    <row r="85" spans="1:11" s="2" customFormat="1" x14ac:dyDescent="0.25">
      <c r="A85" s="2">
        <v>84</v>
      </c>
      <c r="B85" s="2" t="s">
        <v>344</v>
      </c>
      <c r="C85" s="2" t="s">
        <v>201</v>
      </c>
      <c r="D85" s="2" t="s">
        <v>353</v>
      </c>
      <c r="E85" s="2" t="s">
        <v>354</v>
      </c>
      <c r="F85" s="2" t="s">
        <v>355</v>
      </c>
      <c r="G85" s="3" t="s">
        <v>16</v>
      </c>
      <c r="H85" s="5" t="s">
        <v>33</v>
      </c>
      <c r="I85" s="5" t="s">
        <v>18</v>
      </c>
      <c r="J85" s="6" t="s">
        <v>19</v>
      </c>
      <c r="K85" s="2" t="s">
        <v>356</v>
      </c>
    </row>
    <row r="86" spans="1:11" s="2" customFormat="1" x14ac:dyDescent="0.25">
      <c r="A86" s="2">
        <v>85</v>
      </c>
      <c r="B86" s="2" t="s">
        <v>344</v>
      </c>
      <c r="C86" s="2" t="s">
        <v>201</v>
      </c>
      <c r="D86" s="2" t="s">
        <v>357</v>
      </c>
      <c r="E86" s="2" t="s">
        <v>358</v>
      </c>
      <c r="F86" s="2" t="s">
        <v>359</v>
      </c>
      <c r="G86" s="3" t="s">
        <v>16</v>
      </c>
      <c r="H86" s="7" t="s">
        <v>227</v>
      </c>
      <c r="I86" s="7" t="s">
        <v>26</v>
      </c>
      <c r="J86" s="6" t="s">
        <v>19</v>
      </c>
      <c r="K86" s="2" t="s">
        <v>360</v>
      </c>
    </row>
    <row r="87" spans="1:11" s="2" customFormat="1" x14ac:dyDescent="0.25">
      <c r="A87" s="2">
        <v>86</v>
      </c>
      <c r="B87" s="2" t="s">
        <v>344</v>
      </c>
      <c r="C87" s="2" t="s">
        <v>201</v>
      </c>
      <c r="D87" s="2" t="s">
        <v>361</v>
      </c>
      <c r="E87" s="2" t="s">
        <v>362</v>
      </c>
      <c r="F87" s="2" t="s">
        <v>342</v>
      </c>
      <c r="G87" s="3" t="s">
        <v>16</v>
      </c>
      <c r="H87" s="5" t="s">
        <v>33</v>
      </c>
      <c r="I87" s="5" t="s">
        <v>18</v>
      </c>
      <c r="J87" s="6" t="s">
        <v>19</v>
      </c>
      <c r="K87" s="2" t="s">
        <v>363</v>
      </c>
    </row>
    <row r="88" spans="1:11" s="2" customFormat="1" x14ac:dyDescent="0.25">
      <c r="A88" s="2">
        <v>87</v>
      </c>
      <c r="B88" s="2" t="s">
        <v>344</v>
      </c>
      <c r="C88" s="2" t="s">
        <v>201</v>
      </c>
      <c r="D88" s="2" t="s">
        <v>364</v>
      </c>
      <c r="E88" s="2" t="s">
        <v>365</v>
      </c>
      <c r="F88" s="2" t="s">
        <v>315</v>
      </c>
      <c r="G88" s="3" t="s">
        <v>16</v>
      </c>
      <c r="H88" s="7" t="s">
        <v>227</v>
      </c>
      <c r="I88" s="5" t="s">
        <v>18</v>
      </c>
      <c r="J88" s="6" t="s">
        <v>19</v>
      </c>
      <c r="K88" s="2" t="s">
        <v>223</v>
      </c>
    </row>
    <row r="89" spans="1:11" s="2" customFormat="1" x14ac:dyDescent="0.25">
      <c r="A89" s="2">
        <v>88</v>
      </c>
      <c r="B89" s="2" t="s">
        <v>366</v>
      </c>
      <c r="C89" s="2" t="s">
        <v>367</v>
      </c>
      <c r="D89" s="2" t="s">
        <v>368</v>
      </c>
      <c r="E89" s="2" t="s">
        <v>369</v>
      </c>
      <c r="F89" s="2" t="s">
        <v>370</v>
      </c>
      <c r="G89" s="3" t="s">
        <v>16</v>
      </c>
      <c r="H89" s="7" t="s">
        <v>227</v>
      </c>
      <c r="I89" s="7" t="s">
        <v>26</v>
      </c>
      <c r="J89" s="6" t="s">
        <v>19</v>
      </c>
      <c r="K89" s="2" t="s">
        <v>371</v>
      </c>
    </row>
    <row r="90" spans="1:11" s="2" customFormat="1" x14ac:dyDescent="0.25">
      <c r="A90" s="2">
        <v>89</v>
      </c>
      <c r="B90" s="2" t="s">
        <v>366</v>
      </c>
      <c r="C90" s="2" t="s">
        <v>367</v>
      </c>
      <c r="D90" s="2" t="s">
        <v>372</v>
      </c>
      <c r="E90" s="2" t="s">
        <v>373</v>
      </c>
      <c r="F90" s="2" t="s">
        <v>374</v>
      </c>
      <c r="G90" s="3" t="s">
        <v>16</v>
      </c>
      <c r="H90" s="7" t="s">
        <v>227</v>
      </c>
      <c r="I90" s="5" t="s">
        <v>18</v>
      </c>
      <c r="J90" s="6" t="s">
        <v>19</v>
      </c>
      <c r="K90" s="2" t="s">
        <v>223</v>
      </c>
    </row>
    <row r="91" spans="1:11" s="2" customFormat="1" x14ac:dyDescent="0.25">
      <c r="A91" s="2">
        <v>90</v>
      </c>
      <c r="B91" s="2" t="s">
        <v>366</v>
      </c>
      <c r="C91" s="2" t="s">
        <v>367</v>
      </c>
      <c r="D91" s="2" t="s">
        <v>375</v>
      </c>
      <c r="E91" s="2" t="s">
        <v>376</v>
      </c>
      <c r="F91" s="2" t="s">
        <v>374</v>
      </c>
      <c r="G91" s="3" t="s">
        <v>16</v>
      </c>
      <c r="H91" s="7" t="s">
        <v>227</v>
      </c>
      <c r="I91" s="5" t="s">
        <v>18</v>
      </c>
      <c r="J91" s="6" t="s">
        <v>19</v>
      </c>
      <c r="K91" s="2" t="s">
        <v>377</v>
      </c>
    </row>
    <row r="92" spans="1:11" s="2" customFormat="1" x14ac:dyDescent="0.25">
      <c r="A92" s="2">
        <v>91</v>
      </c>
      <c r="B92" s="2" t="s">
        <v>366</v>
      </c>
      <c r="C92" s="2" t="s">
        <v>367</v>
      </c>
      <c r="D92" s="2" t="s">
        <v>378</v>
      </c>
      <c r="E92" s="2" t="s">
        <v>379</v>
      </c>
      <c r="F92" s="2" t="s">
        <v>374</v>
      </c>
      <c r="G92" s="3" t="s">
        <v>16</v>
      </c>
      <c r="H92" s="5" t="s">
        <v>33</v>
      </c>
      <c r="I92" s="5" t="s">
        <v>18</v>
      </c>
      <c r="J92" s="6" t="s">
        <v>19</v>
      </c>
      <c r="K92" s="2" t="s">
        <v>380</v>
      </c>
    </row>
    <row r="93" spans="1:11" s="2" customFormat="1" x14ac:dyDescent="0.25">
      <c r="A93" s="2">
        <v>92</v>
      </c>
      <c r="B93" s="2" t="s">
        <v>381</v>
      </c>
      <c r="C93" s="2" t="s">
        <v>382</v>
      </c>
      <c r="D93" s="2" t="s">
        <v>383</v>
      </c>
      <c r="E93" s="2" t="s">
        <v>384</v>
      </c>
      <c r="F93" s="2" t="s">
        <v>385</v>
      </c>
      <c r="G93" s="3" t="s">
        <v>16</v>
      </c>
      <c r="H93" s="7" t="s">
        <v>227</v>
      </c>
      <c r="I93" s="5" t="s">
        <v>18</v>
      </c>
      <c r="J93" s="6" t="s">
        <v>19</v>
      </c>
      <c r="K93" s="2" t="s">
        <v>386</v>
      </c>
    </row>
    <row r="94" spans="1:11" s="2" customFormat="1" x14ac:dyDescent="0.25">
      <c r="A94" s="2">
        <v>93</v>
      </c>
      <c r="B94" s="2" t="s">
        <v>381</v>
      </c>
      <c r="C94" s="2" t="s">
        <v>382</v>
      </c>
      <c r="D94" s="2" t="s">
        <v>387</v>
      </c>
      <c r="E94" s="2" t="s">
        <v>388</v>
      </c>
      <c r="F94" s="2" t="s">
        <v>389</v>
      </c>
      <c r="G94" s="3" t="s">
        <v>16</v>
      </c>
      <c r="H94" s="10" t="s">
        <v>390</v>
      </c>
      <c r="I94" s="8" t="s">
        <v>49</v>
      </c>
      <c r="J94" s="6" t="s">
        <v>19</v>
      </c>
      <c r="K94" s="2" t="s">
        <v>391</v>
      </c>
    </row>
    <row r="95" spans="1:11" s="2" customFormat="1" x14ac:dyDescent="0.25">
      <c r="A95" s="2">
        <v>94</v>
      </c>
      <c r="B95" s="2" t="s">
        <v>381</v>
      </c>
      <c r="C95" s="2" t="s">
        <v>382</v>
      </c>
      <c r="D95" s="2" t="s">
        <v>392</v>
      </c>
      <c r="E95" s="2" t="s">
        <v>393</v>
      </c>
      <c r="F95" s="2" t="s">
        <v>389</v>
      </c>
      <c r="G95" s="3" t="s">
        <v>16</v>
      </c>
      <c r="H95" s="10" t="s">
        <v>390</v>
      </c>
      <c r="I95" s="7" t="s">
        <v>26</v>
      </c>
      <c r="J95" s="6" t="s">
        <v>19</v>
      </c>
      <c r="K95" s="2" t="s">
        <v>394</v>
      </c>
    </row>
    <row r="96" spans="1:11" s="2" customFormat="1" x14ac:dyDescent="0.25">
      <c r="A96" s="2">
        <v>95</v>
      </c>
      <c r="B96" s="2" t="s">
        <v>381</v>
      </c>
      <c r="C96" s="2" t="s">
        <v>382</v>
      </c>
      <c r="D96" s="2" t="s">
        <v>395</v>
      </c>
      <c r="E96" s="2" t="s">
        <v>396</v>
      </c>
      <c r="F96" s="2" t="s">
        <v>389</v>
      </c>
      <c r="G96" s="3" t="s">
        <v>16</v>
      </c>
      <c r="H96" s="7" t="s">
        <v>227</v>
      </c>
      <c r="I96" s="7" t="s">
        <v>26</v>
      </c>
      <c r="J96" s="6" t="s">
        <v>19</v>
      </c>
      <c r="K96" s="2" t="s">
        <v>397</v>
      </c>
    </row>
    <row r="97" spans="1:11" s="2" customFormat="1" x14ac:dyDescent="0.25">
      <c r="A97" s="2">
        <v>96</v>
      </c>
      <c r="B97" s="2" t="s">
        <v>292</v>
      </c>
      <c r="C97" s="2" t="s">
        <v>398</v>
      </c>
      <c r="D97" s="2" t="s">
        <v>399</v>
      </c>
      <c r="E97" s="2" t="s">
        <v>400</v>
      </c>
      <c r="F97" s="2" t="s">
        <v>244</v>
      </c>
      <c r="G97" s="3" t="s">
        <v>16</v>
      </c>
      <c r="H97" s="5" t="s">
        <v>33</v>
      </c>
      <c r="I97" s="7" t="s">
        <v>26</v>
      </c>
      <c r="J97" s="6" t="s">
        <v>19</v>
      </c>
      <c r="K97" s="2" t="s">
        <v>237</v>
      </c>
    </row>
    <row r="98" spans="1:11" s="2" customFormat="1" x14ac:dyDescent="0.25">
      <c r="A98" s="2">
        <v>97</v>
      </c>
      <c r="B98" s="2" t="s">
        <v>292</v>
      </c>
      <c r="C98" s="2" t="s">
        <v>398</v>
      </c>
      <c r="D98" s="2" t="s">
        <v>401</v>
      </c>
      <c r="E98" s="2" t="s">
        <v>402</v>
      </c>
      <c r="F98" s="2" t="s">
        <v>403</v>
      </c>
      <c r="G98" s="3" t="s">
        <v>16</v>
      </c>
      <c r="H98" s="7" t="s">
        <v>227</v>
      </c>
      <c r="I98" s="7" t="s">
        <v>26</v>
      </c>
      <c r="J98" s="6" t="s">
        <v>19</v>
      </c>
      <c r="K98" s="2" t="s">
        <v>404</v>
      </c>
    </row>
    <row r="99" spans="1:11" s="2" customFormat="1" x14ac:dyDescent="0.25">
      <c r="A99" s="2">
        <v>98</v>
      </c>
      <c r="B99" s="2" t="s">
        <v>292</v>
      </c>
      <c r="C99" s="2" t="s">
        <v>405</v>
      </c>
      <c r="D99" s="2" t="s">
        <v>406</v>
      </c>
      <c r="E99" s="2" t="s">
        <v>407</v>
      </c>
      <c r="F99" s="2" t="s">
        <v>408</v>
      </c>
      <c r="G99" s="3" t="s">
        <v>16</v>
      </c>
      <c r="H99" s="5" t="s">
        <v>33</v>
      </c>
      <c r="I99" s="5" t="s">
        <v>18</v>
      </c>
      <c r="J99" s="6" t="s">
        <v>19</v>
      </c>
      <c r="K99" s="2" t="s">
        <v>263</v>
      </c>
    </row>
    <row r="100" spans="1:11" s="2" customFormat="1" x14ac:dyDescent="0.25">
      <c r="A100" s="2">
        <v>99</v>
      </c>
      <c r="B100" s="2" t="s">
        <v>292</v>
      </c>
      <c r="C100" s="2" t="s">
        <v>405</v>
      </c>
      <c r="D100" s="2" t="s">
        <v>409</v>
      </c>
      <c r="E100" s="2" t="s">
        <v>410</v>
      </c>
      <c r="F100" s="2" t="s">
        <v>411</v>
      </c>
      <c r="G100" s="3" t="s">
        <v>16</v>
      </c>
      <c r="H100" s="4" t="s">
        <v>17</v>
      </c>
      <c r="I100" s="5" t="s">
        <v>18</v>
      </c>
      <c r="J100" s="6" t="s">
        <v>19</v>
      </c>
      <c r="K100" s="2" t="s">
        <v>223</v>
      </c>
    </row>
    <row r="101" spans="1:11" s="2" customFormat="1" x14ac:dyDescent="0.25">
      <c r="A101" s="2">
        <v>100</v>
      </c>
      <c r="B101" s="2" t="s">
        <v>292</v>
      </c>
      <c r="C101" s="2" t="s">
        <v>305</v>
      </c>
      <c r="D101" s="2" t="s">
        <v>412</v>
      </c>
      <c r="E101" s="2" t="s">
        <v>413</v>
      </c>
      <c r="F101" s="2" t="s">
        <v>326</v>
      </c>
      <c r="G101" s="3" t="s">
        <v>16</v>
      </c>
      <c r="H101" s="5" t="s">
        <v>33</v>
      </c>
      <c r="I101" s="5" t="s">
        <v>18</v>
      </c>
      <c r="J101" s="6" t="s">
        <v>19</v>
      </c>
      <c r="K101" s="2" t="s">
        <v>327</v>
      </c>
    </row>
    <row r="102" spans="1:11" s="2" customFormat="1" x14ac:dyDescent="0.25">
      <c r="A102" s="2">
        <v>101</v>
      </c>
      <c r="B102" s="2" t="s">
        <v>292</v>
      </c>
      <c r="C102" s="2" t="s">
        <v>414</v>
      </c>
      <c r="D102" s="2" t="s">
        <v>415</v>
      </c>
      <c r="E102" s="2" t="s">
        <v>416</v>
      </c>
      <c r="F102" s="2" t="s">
        <v>417</v>
      </c>
      <c r="G102" s="3" t="s">
        <v>16</v>
      </c>
      <c r="H102" s="5" t="s">
        <v>33</v>
      </c>
      <c r="I102" s="5" t="s">
        <v>18</v>
      </c>
      <c r="J102" s="6" t="s">
        <v>19</v>
      </c>
      <c r="K102" s="2" t="s">
        <v>418</v>
      </c>
    </row>
    <row r="103" spans="1:11" s="2" customFormat="1" x14ac:dyDescent="0.25">
      <c r="A103" s="2">
        <v>102</v>
      </c>
      <c r="B103" s="2" t="s">
        <v>419</v>
      </c>
      <c r="C103" s="2" t="s">
        <v>367</v>
      </c>
      <c r="D103" s="2" t="s">
        <v>420</v>
      </c>
      <c r="E103" s="2" t="s">
        <v>421</v>
      </c>
      <c r="F103" s="2" t="s">
        <v>355</v>
      </c>
      <c r="G103" s="3" t="s">
        <v>16</v>
      </c>
      <c r="H103" s="4" t="s">
        <v>17</v>
      </c>
      <c r="I103" s="7" t="s">
        <v>26</v>
      </c>
      <c r="J103" s="6" t="s">
        <v>19</v>
      </c>
      <c r="K103" s="2" t="s">
        <v>422</v>
      </c>
    </row>
    <row r="104" spans="1:11" s="2" customFormat="1" x14ac:dyDescent="0.25">
      <c r="A104" s="2">
        <v>103</v>
      </c>
      <c r="B104" s="2" t="s">
        <v>419</v>
      </c>
      <c r="C104" s="2" t="s">
        <v>367</v>
      </c>
      <c r="D104" s="2" t="s">
        <v>423</v>
      </c>
      <c r="E104" s="2" t="s">
        <v>424</v>
      </c>
      <c r="F104" s="2" t="s">
        <v>425</v>
      </c>
      <c r="G104" s="3" t="s">
        <v>16</v>
      </c>
      <c r="H104" s="4" t="s">
        <v>17</v>
      </c>
      <c r="I104" s="5" t="s">
        <v>18</v>
      </c>
      <c r="J104" s="6" t="s">
        <v>19</v>
      </c>
      <c r="K104" s="2" t="s">
        <v>426</v>
      </c>
    </row>
    <row r="105" spans="1:11" s="2" customFormat="1" x14ac:dyDescent="0.25">
      <c r="A105" s="2">
        <v>104</v>
      </c>
      <c r="B105" s="2" t="s">
        <v>419</v>
      </c>
      <c r="C105" s="2" t="s">
        <v>367</v>
      </c>
      <c r="D105" s="2" t="s">
        <v>427</v>
      </c>
      <c r="E105" s="2" t="s">
        <v>428</v>
      </c>
      <c r="F105" s="2" t="s">
        <v>425</v>
      </c>
      <c r="G105" s="3" t="s">
        <v>16</v>
      </c>
      <c r="H105" s="4" t="s">
        <v>17</v>
      </c>
      <c r="I105" s="7" t="s">
        <v>26</v>
      </c>
      <c r="J105" s="6" t="s">
        <v>19</v>
      </c>
      <c r="K105" s="2" t="s">
        <v>429</v>
      </c>
    </row>
    <row r="106" spans="1:11" s="2" customFormat="1" x14ac:dyDescent="0.25">
      <c r="A106" s="2">
        <v>105</v>
      </c>
      <c r="B106" s="2" t="s">
        <v>419</v>
      </c>
      <c r="C106" s="2" t="s">
        <v>367</v>
      </c>
      <c r="D106" s="2" t="s">
        <v>430</v>
      </c>
      <c r="E106" s="2" t="s">
        <v>431</v>
      </c>
      <c r="F106" s="2" t="s">
        <v>425</v>
      </c>
      <c r="G106" s="3" t="s">
        <v>16</v>
      </c>
      <c r="H106" s="5" t="s">
        <v>33</v>
      </c>
      <c r="I106" s="7" t="s">
        <v>26</v>
      </c>
      <c r="J106" s="6" t="s">
        <v>19</v>
      </c>
      <c r="K106" s="2" t="s">
        <v>432</v>
      </c>
    </row>
    <row r="107" spans="1:11" s="2" customFormat="1" x14ac:dyDescent="0.25">
      <c r="A107" s="2">
        <v>106</v>
      </c>
      <c r="B107" s="2" t="s">
        <v>419</v>
      </c>
      <c r="C107" s="2" t="s">
        <v>367</v>
      </c>
      <c r="D107" s="2" t="s">
        <v>433</v>
      </c>
      <c r="E107" s="2" t="s">
        <v>434</v>
      </c>
      <c r="F107" s="2" t="s">
        <v>425</v>
      </c>
      <c r="G107" s="3" t="s">
        <v>16</v>
      </c>
      <c r="H107" s="4" t="s">
        <v>17</v>
      </c>
      <c r="I107" s="7" t="s">
        <v>26</v>
      </c>
      <c r="J107" s="6" t="s">
        <v>19</v>
      </c>
      <c r="K107" s="2" t="s">
        <v>435</v>
      </c>
    </row>
    <row r="108" spans="1:11" s="2" customFormat="1" x14ac:dyDescent="0.25">
      <c r="A108" s="2">
        <v>107</v>
      </c>
      <c r="B108" s="2" t="s">
        <v>436</v>
      </c>
      <c r="C108" s="2" t="s">
        <v>437</v>
      </c>
      <c r="D108" s="2" t="s">
        <v>438</v>
      </c>
      <c r="E108" s="2" t="s">
        <v>439</v>
      </c>
      <c r="F108" s="2" t="s">
        <v>440</v>
      </c>
      <c r="G108" s="3" t="s">
        <v>16</v>
      </c>
      <c r="H108" s="7" t="s">
        <v>227</v>
      </c>
      <c r="I108" s="5" t="s">
        <v>18</v>
      </c>
      <c r="J108" s="6" t="s">
        <v>19</v>
      </c>
      <c r="K108" s="2" t="s">
        <v>441</v>
      </c>
    </row>
    <row r="109" spans="1:11" s="2" customFormat="1" x14ac:dyDescent="0.25">
      <c r="A109" s="2">
        <v>108</v>
      </c>
      <c r="B109" s="2" t="s">
        <v>436</v>
      </c>
      <c r="C109" s="2" t="s">
        <v>437</v>
      </c>
      <c r="D109" s="2" t="s">
        <v>442</v>
      </c>
      <c r="E109" s="2" t="s">
        <v>443</v>
      </c>
      <c r="F109" s="2" t="s">
        <v>440</v>
      </c>
      <c r="G109" s="3" t="s">
        <v>16</v>
      </c>
      <c r="H109" s="7" t="s">
        <v>227</v>
      </c>
      <c r="I109" s="5" t="s">
        <v>18</v>
      </c>
      <c r="J109" s="6" t="s">
        <v>19</v>
      </c>
      <c r="K109" s="2" t="s">
        <v>444</v>
      </c>
    </row>
    <row r="110" spans="1:11" s="2" customFormat="1" x14ac:dyDescent="0.25">
      <c r="A110" s="2">
        <v>109</v>
      </c>
      <c r="B110" s="2" t="s">
        <v>436</v>
      </c>
      <c r="C110" s="2" t="s">
        <v>445</v>
      </c>
      <c r="D110" s="2" t="s">
        <v>446</v>
      </c>
      <c r="E110" s="2" t="s">
        <v>447</v>
      </c>
      <c r="F110" s="2" t="s">
        <v>448</v>
      </c>
      <c r="G110" s="3" t="s">
        <v>16</v>
      </c>
      <c r="H110" s="7" t="s">
        <v>227</v>
      </c>
      <c r="I110" s="5" t="s">
        <v>18</v>
      </c>
      <c r="J110" s="6" t="s">
        <v>19</v>
      </c>
      <c r="K110" s="2" t="s">
        <v>449</v>
      </c>
    </row>
    <row r="111" spans="1:11" s="2" customFormat="1" x14ac:dyDescent="0.25">
      <c r="A111" s="2">
        <v>110</v>
      </c>
      <c r="B111" s="2" t="s">
        <v>436</v>
      </c>
      <c r="C111" s="2" t="s">
        <v>445</v>
      </c>
      <c r="D111" s="2" t="s">
        <v>450</v>
      </c>
      <c r="E111" s="2" t="s">
        <v>451</v>
      </c>
      <c r="F111" s="2" t="s">
        <v>319</v>
      </c>
      <c r="G111" s="3" t="s">
        <v>16</v>
      </c>
      <c r="H111" s="7" t="s">
        <v>227</v>
      </c>
      <c r="I111" s="5" t="s">
        <v>18</v>
      </c>
      <c r="J111" s="6" t="s">
        <v>19</v>
      </c>
      <c r="K111" s="2" t="s">
        <v>270</v>
      </c>
    </row>
    <row r="112" spans="1:11" s="2" customFormat="1" x14ac:dyDescent="0.25">
      <c r="A112" s="2">
        <v>111</v>
      </c>
      <c r="B112" s="2" t="s">
        <v>436</v>
      </c>
      <c r="C112" s="2" t="s">
        <v>445</v>
      </c>
      <c r="D112" s="2" t="s">
        <v>452</v>
      </c>
      <c r="E112" s="2" t="s">
        <v>453</v>
      </c>
      <c r="F112" s="2" t="s">
        <v>454</v>
      </c>
      <c r="G112" s="3" t="s">
        <v>16</v>
      </c>
      <c r="H112" s="7" t="s">
        <v>227</v>
      </c>
      <c r="I112" s="5" t="s">
        <v>18</v>
      </c>
      <c r="J112" s="6" t="s">
        <v>19</v>
      </c>
      <c r="K112" s="2" t="s">
        <v>455</v>
      </c>
    </row>
    <row r="113" spans="1:11" s="2" customFormat="1" x14ac:dyDescent="0.25">
      <c r="A113" s="2">
        <v>112</v>
      </c>
      <c r="B113" s="2" t="s">
        <v>436</v>
      </c>
      <c r="C113" s="2" t="s">
        <v>445</v>
      </c>
      <c r="D113" s="2" t="s">
        <v>456</v>
      </c>
      <c r="E113" s="2" t="s">
        <v>457</v>
      </c>
      <c r="F113" s="2" t="s">
        <v>458</v>
      </c>
      <c r="G113" s="3" t="s">
        <v>16</v>
      </c>
      <c r="H113" s="7" t="s">
        <v>227</v>
      </c>
      <c r="I113" s="5" t="s">
        <v>18</v>
      </c>
      <c r="J113" s="6" t="s">
        <v>19</v>
      </c>
      <c r="K113" s="2" t="s">
        <v>228</v>
      </c>
    </row>
    <row r="114" spans="1:11" s="2" customFormat="1" x14ac:dyDescent="0.25">
      <c r="A114" s="2">
        <v>113</v>
      </c>
      <c r="B114" s="2" t="s">
        <v>436</v>
      </c>
      <c r="C114" s="2" t="s">
        <v>459</v>
      </c>
      <c r="D114" s="2" t="s">
        <v>460</v>
      </c>
      <c r="E114" s="2" t="s">
        <v>461</v>
      </c>
      <c r="F114" s="2" t="s">
        <v>462</v>
      </c>
      <c r="G114" s="3" t="s">
        <v>16</v>
      </c>
      <c r="H114" s="5" t="s">
        <v>33</v>
      </c>
      <c r="I114" s="5" t="s">
        <v>18</v>
      </c>
      <c r="J114" s="6" t="s">
        <v>19</v>
      </c>
      <c r="K114" s="2" t="s">
        <v>223</v>
      </c>
    </row>
    <row r="115" spans="1:11" s="2" customFormat="1" x14ac:dyDescent="0.25">
      <c r="A115" s="2">
        <v>114</v>
      </c>
      <c r="B115" s="2" t="s">
        <v>436</v>
      </c>
      <c r="C115" s="2" t="s">
        <v>463</v>
      </c>
      <c r="D115" s="2" t="s">
        <v>464</v>
      </c>
      <c r="E115" s="2" t="s">
        <v>465</v>
      </c>
      <c r="F115" s="2" t="s">
        <v>466</v>
      </c>
      <c r="G115" s="3" t="s">
        <v>16</v>
      </c>
      <c r="H115" s="5" t="s">
        <v>33</v>
      </c>
      <c r="I115" s="5" t="s">
        <v>18</v>
      </c>
      <c r="J115" s="6" t="s">
        <v>19</v>
      </c>
      <c r="K115" s="2" t="s">
        <v>467</v>
      </c>
    </row>
    <row r="116" spans="1:11" s="2" customFormat="1" x14ac:dyDescent="0.25">
      <c r="A116" s="2">
        <v>115</v>
      </c>
      <c r="B116" s="2" t="s">
        <v>436</v>
      </c>
      <c r="C116" s="2" t="s">
        <v>468</v>
      </c>
      <c r="D116" s="2" t="s">
        <v>469</v>
      </c>
      <c r="E116" s="2" t="s">
        <v>470</v>
      </c>
      <c r="F116" s="2" t="s">
        <v>462</v>
      </c>
      <c r="G116" s="3" t="s">
        <v>16</v>
      </c>
      <c r="H116" s="8" t="s">
        <v>48</v>
      </c>
      <c r="I116" s="7" t="s">
        <v>26</v>
      </c>
      <c r="J116" s="6" t="s">
        <v>19</v>
      </c>
      <c r="K116" s="2" t="s">
        <v>471</v>
      </c>
    </row>
    <row r="117" spans="1:11" s="2" customFormat="1" x14ac:dyDescent="0.25">
      <c r="A117" s="2">
        <v>116</v>
      </c>
      <c r="B117" s="2" t="s">
        <v>436</v>
      </c>
      <c r="C117" s="2" t="s">
        <v>468</v>
      </c>
      <c r="D117" s="2" t="s">
        <v>472</v>
      </c>
      <c r="E117" s="2" t="s">
        <v>473</v>
      </c>
      <c r="F117" s="2" t="s">
        <v>462</v>
      </c>
      <c r="G117" s="3" t="s">
        <v>16</v>
      </c>
      <c r="H117" s="7" t="s">
        <v>227</v>
      </c>
      <c r="I117" s="5" t="s">
        <v>18</v>
      </c>
      <c r="J117" s="6" t="s">
        <v>19</v>
      </c>
      <c r="K117" s="2" t="s">
        <v>474</v>
      </c>
    </row>
    <row r="118" spans="1:11" s="2" customFormat="1" x14ac:dyDescent="0.25">
      <c r="A118" s="2">
        <v>117</v>
      </c>
      <c r="B118" s="2" t="s">
        <v>436</v>
      </c>
      <c r="C118" s="2" t="s">
        <v>445</v>
      </c>
      <c r="D118" s="2" t="s">
        <v>475</v>
      </c>
      <c r="E118" s="2" t="s">
        <v>476</v>
      </c>
      <c r="F118" s="2" t="s">
        <v>477</v>
      </c>
      <c r="G118" s="3" t="s">
        <v>16</v>
      </c>
      <c r="H118" s="9" t="s">
        <v>55</v>
      </c>
      <c r="I118" s="9" t="s">
        <v>55</v>
      </c>
      <c r="J118" s="6" t="s">
        <v>19</v>
      </c>
      <c r="K118" s="2" t="s">
        <v>64</v>
      </c>
    </row>
    <row r="119" spans="1:11" s="2" customFormat="1" x14ac:dyDescent="0.25">
      <c r="A119" s="2">
        <v>118</v>
      </c>
      <c r="B119" s="2" t="s">
        <v>478</v>
      </c>
      <c r="C119" s="2" t="s">
        <v>51</v>
      </c>
      <c r="D119" s="2" t="s">
        <v>479</v>
      </c>
      <c r="E119" s="2" t="s">
        <v>480</v>
      </c>
      <c r="F119" s="2" t="s">
        <v>481</v>
      </c>
      <c r="G119" s="3" t="s">
        <v>16</v>
      </c>
      <c r="H119" s="7" t="s">
        <v>227</v>
      </c>
      <c r="I119" s="7" t="s">
        <v>26</v>
      </c>
      <c r="J119" s="6" t="s">
        <v>19</v>
      </c>
      <c r="K119" s="2" t="s">
        <v>482</v>
      </c>
    </row>
    <row r="120" spans="1:11" s="2" customFormat="1" x14ac:dyDescent="0.25">
      <c r="A120" s="2">
        <v>119</v>
      </c>
      <c r="B120" s="2" t="s">
        <v>478</v>
      </c>
      <c r="C120" s="2" t="s">
        <v>367</v>
      </c>
      <c r="D120" s="2" t="s">
        <v>483</v>
      </c>
      <c r="E120" s="2" t="s">
        <v>484</v>
      </c>
      <c r="F120" s="2" t="s">
        <v>485</v>
      </c>
      <c r="G120" s="3" t="s">
        <v>16</v>
      </c>
      <c r="H120" s="7" t="s">
        <v>227</v>
      </c>
      <c r="I120" s="7" t="s">
        <v>26</v>
      </c>
      <c r="J120" s="6" t="s">
        <v>19</v>
      </c>
      <c r="K120" s="2" t="s">
        <v>486</v>
      </c>
    </row>
    <row r="121" spans="1:11" s="2" customFormat="1" x14ac:dyDescent="0.25">
      <c r="A121" s="2">
        <v>120</v>
      </c>
      <c r="B121" s="2" t="s">
        <v>487</v>
      </c>
      <c r="C121" s="2" t="s">
        <v>488</v>
      </c>
      <c r="D121" s="2" t="s">
        <v>489</v>
      </c>
      <c r="E121" s="2" t="s">
        <v>490</v>
      </c>
      <c r="F121" s="2" t="s">
        <v>491</v>
      </c>
      <c r="G121" s="3" t="s">
        <v>16</v>
      </c>
      <c r="H121" s="9" t="s">
        <v>55</v>
      </c>
      <c r="I121" s="9" t="s">
        <v>55</v>
      </c>
      <c r="J121" s="6" t="s">
        <v>19</v>
      </c>
      <c r="K121" s="2" t="s">
        <v>492</v>
      </c>
    </row>
    <row r="122" spans="1:11" s="2" customFormat="1" x14ac:dyDescent="0.25">
      <c r="A122" s="2">
        <v>121</v>
      </c>
      <c r="B122" s="2" t="s">
        <v>487</v>
      </c>
      <c r="C122" s="2" t="s">
        <v>488</v>
      </c>
      <c r="D122" s="2" t="s">
        <v>493</v>
      </c>
      <c r="E122" s="2" t="s">
        <v>494</v>
      </c>
      <c r="F122" s="2" t="s">
        <v>495</v>
      </c>
      <c r="G122" s="3" t="s">
        <v>16</v>
      </c>
      <c r="H122" s="9" t="s">
        <v>55</v>
      </c>
      <c r="I122" s="9" t="s">
        <v>55</v>
      </c>
      <c r="J122" s="6" t="s">
        <v>19</v>
      </c>
      <c r="K122" s="2" t="s">
        <v>496</v>
      </c>
    </row>
    <row r="123" spans="1:11" s="2" customFormat="1" x14ac:dyDescent="0.25">
      <c r="A123" s="2">
        <v>122</v>
      </c>
      <c r="B123" s="2" t="s">
        <v>487</v>
      </c>
      <c r="C123" s="2" t="s">
        <v>497</v>
      </c>
      <c r="D123" s="2" t="s">
        <v>498</v>
      </c>
      <c r="E123" s="2" t="s">
        <v>499</v>
      </c>
      <c r="F123" s="2" t="s">
        <v>500</v>
      </c>
      <c r="G123" s="3" t="s">
        <v>16</v>
      </c>
      <c r="H123" s="8" t="s">
        <v>48</v>
      </c>
      <c r="I123" s="7" t="s">
        <v>26</v>
      </c>
      <c r="J123" s="6" t="s">
        <v>19</v>
      </c>
      <c r="K123" s="2" t="s">
        <v>501</v>
      </c>
    </row>
    <row r="124" spans="1:11" s="2" customFormat="1" x14ac:dyDescent="0.25">
      <c r="A124" s="2">
        <v>123</v>
      </c>
      <c r="B124" s="2" t="s">
        <v>487</v>
      </c>
      <c r="C124" s="2" t="s">
        <v>497</v>
      </c>
      <c r="D124" s="2" t="s">
        <v>502</v>
      </c>
      <c r="E124" s="2" t="s">
        <v>503</v>
      </c>
      <c r="F124" s="2" t="s">
        <v>504</v>
      </c>
      <c r="G124" s="3" t="s">
        <v>16</v>
      </c>
      <c r="H124" s="8" t="s">
        <v>48</v>
      </c>
      <c r="I124" s="7" t="s">
        <v>26</v>
      </c>
      <c r="J124" s="6" t="s">
        <v>19</v>
      </c>
      <c r="K124" s="2" t="s">
        <v>505</v>
      </c>
    </row>
    <row r="125" spans="1:11" s="2" customFormat="1" x14ac:dyDescent="0.25">
      <c r="A125" s="2">
        <v>124</v>
      </c>
      <c r="B125" s="2" t="s">
        <v>487</v>
      </c>
      <c r="C125" s="2" t="s">
        <v>506</v>
      </c>
      <c r="D125" s="2" t="s">
        <v>507</v>
      </c>
      <c r="E125" s="2" t="s">
        <v>508</v>
      </c>
      <c r="F125" s="2" t="s">
        <v>509</v>
      </c>
      <c r="G125" s="3" t="s">
        <v>16</v>
      </c>
      <c r="H125" s="7" t="s">
        <v>227</v>
      </c>
      <c r="I125" s="5" t="s">
        <v>18</v>
      </c>
      <c r="J125" s="6" t="s">
        <v>19</v>
      </c>
      <c r="K125" s="2" t="s">
        <v>510</v>
      </c>
    </row>
    <row r="126" spans="1:11" s="2" customFormat="1" x14ac:dyDescent="0.25">
      <c r="A126" s="2">
        <v>125</v>
      </c>
      <c r="B126" s="2" t="s">
        <v>487</v>
      </c>
      <c r="C126" s="2" t="s">
        <v>506</v>
      </c>
      <c r="D126" s="2" t="s">
        <v>511</v>
      </c>
      <c r="E126" s="2" t="s">
        <v>512</v>
      </c>
      <c r="F126" s="2" t="s">
        <v>513</v>
      </c>
      <c r="G126" s="3" t="s">
        <v>16</v>
      </c>
      <c r="H126" s="8" t="s">
        <v>48</v>
      </c>
      <c r="I126" s="5" t="s">
        <v>18</v>
      </c>
      <c r="J126" s="6" t="s">
        <v>19</v>
      </c>
      <c r="K126" s="2" t="s">
        <v>514</v>
      </c>
    </row>
    <row r="127" spans="1:11" s="2" customFormat="1" x14ac:dyDescent="0.25">
      <c r="A127" s="2">
        <v>126</v>
      </c>
      <c r="B127" s="2" t="s">
        <v>487</v>
      </c>
      <c r="C127" s="2" t="s">
        <v>506</v>
      </c>
      <c r="D127" s="2" t="s">
        <v>515</v>
      </c>
      <c r="E127" s="2" t="s">
        <v>516</v>
      </c>
      <c r="F127" s="2" t="s">
        <v>513</v>
      </c>
      <c r="G127" s="3" t="s">
        <v>16</v>
      </c>
      <c r="H127" s="7" t="s">
        <v>227</v>
      </c>
      <c r="I127" s="5" t="s">
        <v>18</v>
      </c>
      <c r="J127" s="6" t="s">
        <v>19</v>
      </c>
      <c r="K127" s="2" t="s">
        <v>517</v>
      </c>
    </row>
    <row r="128" spans="1:11" s="2" customFormat="1" x14ac:dyDescent="0.25">
      <c r="A128" s="2">
        <v>127</v>
      </c>
      <c r="B128" s="2" t="s">
        <v>487</v>
      </c>
      <c r="C128" s="2" t="s">
        <v>506</v>
      </c>
      <c r="D128" s="2" t="s">
        <v>518</v>
      </c>
      <c r="E128" s="2" t="s">
        <v>519</v>
      </c>
      <c r="F128" s="2" t="s">
        <v>513</v>
      </c>
      <c r="G128" s="3" t="s">
        <v>16</v>
      </c>
      <c r="H128" s="8" t="s">
        <v>48</v>
      </c>
      <c r="I128" s="5" t="s">
        <v>18</v>
      </c>
      <c r="J128" s="6" t="s">
        <v>19</v>
      </c>
      <c r="K128" s="2" t="s">
        <v>520</v>
      </c>
    </row>
    <row r="129" spans="1:11" s="2" customFormat="1" x14ac:dyDescent="0.25">
      <c r="A129" s="2">
        <v>128</v>
      </c>
      <c r="B129" s="2" t="s">
        <v>487</v>
      </c>
      <c r="C129" s="2" t="s">
        <v>506</v>
      </c>
      <c r="D129" s="2" t="s">
        <v>521</v>
      </c>
      <c r="E129" s="2" t="s">
        <v>522</v>
      </c>
      <c r="F129" s="2" t="s">
        <v>523</v>
      </c>
      <c r="G129" s="3" t="s">
        <v>16</v>
      </c>
      <c r="H129" s="8" t="s">
        <v>48</v>
      </c>
      <c r="I129" s="7" t="s">
        <v>26</v>
      </c>
      <c r="J129" s="6" t="s">
        <v>19</v>
      </c>
      <c r="K129" s="2" t="s">
        <v>524</v>
      </c>
    </row>
    <row r="130" spans="1:11" s="2" customFormat="1" x14ac:dyDescent="0.25">
      <c r="A130" s="2">
        <v>129</v>
      </c>
      <c r="B130" s="2" t="s">
        <v>487</v>
      </c>
      <c r="C130" s="2" t="s">
        <v>525</v>
      </c>
      <c r="D130" s="2" t="s">
        <v>526</v>
      </c>
      <c r="E130" s="2" t="s">
        <v>527</v>
      </c>
      <c r="F130" s="2" t="s">
        <v>528</v>
      </c>
      <c r="G130" s="3" t="s">
        <v>16</v>
      </c>
      <c r="H130" s="9" t="s">
        <v>55</v>
      </c>
      <c r="I130" s="9" t="s">
        <v>55</v>
      </c>
      <c r="J130" s="6" t="s">
        <v>19</v>
      </c>
      <c r="K130" s="2" t="s">
        <v>64</v>
      </c>
    </row>
    <row r="131" spans="1:11" s="2" customFormat="1" x14ac:dyDescent="0.25">
      <c r="A131" s="2">
        <v>130</v>
      </c>
      <c r="B131" s="2" t="s">
        <v>487</v>
      </c>
      <c r="C131" s="2" t="s">
        <v>525</v>
      </c>
      <c r="D131" s="2" t="s">
        <v>529</v>
      </c>
      <c r="E131" s="2" t="s">
        <v>530</v>
      </c>
      <c r="F131" s="2" t="s">
        <v>531</v>
      </c>
      <c r="G131" s="3" t="s">
        <v>16</v>
      </c>
      <c r="H131" s="9" t="s">
        <v>55</v>
      </c>
      <c r="I131" s="9" t="s">
        <v>55</v>
      </c>
      <c r="J131" s="6" t="s">
        <v>19</v>
      </c>
      <c r="K131" s="2" t="s">
        <v>64</v>
      </c>
    </row>
    <row r="132" spans="1:11" s="2" customFormat="1" x14ac:dyDescent="0.25">
      <c r="A132" s="2">
        <v>131</v>
      </c>
      <c r="B132" s="2" t="s">
        <v>487</v>
      </c>
      <c r="C132" s="2" t="s">
        <v>525</v>
      </c>
      <c r="D132" s="2" t="s">
        <v>532</v>
      </c>
      <c r="E132" s="2" t="s">
        <v>533</v>
      </c>
      <c r="F132" s="2" t="s">
        <v>458</v>
      </c>
      <c r="G132" s="3" t="s">
        <v>16</v>
      </c>
      <c r="H132" s="5" t="s">
        <v>33</v>
      </c>
      <c r="I132" s="5" t="s">
        <v>18</v>
      </c>
      <c r="J132" s="6" t="s">
        <v>19</v>
      </c>
      <c r="K132" s="2" t="s">
        <v>534</v>
      </c>
    </row>
    <row r="133" spans="1:11" s="2" customFormat="1" x14ac:dyDescent="0.25">
      <c r="A133" s="2">
        <v>132</v>
      </c>
      <c r="B133" s="2" t="s">
        <v>535</v>
      </c>
      <c r="C133" s="2" t="s">
        <v>536</v>
      </c>
      <c r="D133" s="2" t="s">
        <v>537</v>
      </c>
      <c r="E133" s="2" t="s">
        <v>538</v>
      </c>
      <c r="F133" s="2" t="s">
        <v>539</v>
      </c>
      <c r="G133" s="3" t="s">
        <v>16</v>
      </c>
      <c r="H133" s="9" t="s">
        <v>55</v>
      </c>
      <c r="I133" s="9" t="s">
        <v>55</v>
      </c>
      <c r="J133" s="6" t="s">
        <v>19</v>
      </c>
      <c r="K133" s="2" t="s">
        <v>540</v>
      </c>
    </row>
    <row r="134" spans="1:11" s="2" customFormat="1" x14ac:dyDescent="0.25">
      <c r="A134" s="2">
        <v>133</v>
      </c>
      <c r="B134" s="2" t="s">
        <v>535</v>
      </c>
      <c r="C134" s="2" t="s">
        <v>536</v>
      </c>
      <c r="D134" s="2" t="s">
        <v>541</v>
      </c>
      <c r="E134" s="2" t="s">
        <v>542</v>
      </c>
      <c r="F134" s="2" t="s">
        <v>543</v>
      </c>
      <c r="G134" s="3" t="s">
        <v>16</v>
      </c>
      <c r="H134" s="8" t="s">
        <v>48</v>
      </c>
      <c r="I134" s="7" t="s">
        <v>26</v>
      </c>
      <c r="J134" s="6" t="s">
        <v>19</v>
      </c>
      <c r="K134" s="2" t="s">
        <v>544</v>
      </c>
    </row>
    <row r="135" spans="1:11" s="2" customFormat="1" x14ac:dyDescent="0.25">
      <c r="A135" s="2">
        <v>134</v>
      </c>
      <c r="B135" s="2" t="s">
        <v>535</v>
      </c>
      <c r="C135" s="2" t="s">
        <v>536</v>
      </c>
      <c r="D135" s="2" t="s">
        <v>545</v>
      </c>
      <c r="E135" s="2" t="s">
        <v>546</v>
      </c>
      <c r="F135" s="2" t="s">
        <v>547</v>
      </c>
      <c r="G135" s="3" t="s">
        <v>16</v>
      </c>
      <c r="H135" s="9" t="s">
        <v>55</v>
      </c>
      <c r="I135" s="9" t="s">
        <v>55</v>
      </c>
      <c r="J135" s="6" t="s">
        <v>19</v>
      </c>
      <c r="K135" s="2" t="s">
        <v>548</v>
      </c>
    </row>
    <row r="136" spans="1:11" s="2" customFormat="1" x14ac:dyDescent="0.25">
      <c r="A136" s="2">
        <v>135</v>
      </c>
      <c r="B136" s="2" t="s">
        <v>535</v>
      </c>
      <c r="C136" s="2" t="s">
        <v>549</v>
      </c>
      <c r="D136" s="2" t="s">
        <v>550</v>
      </c>
      <c r="E136" s="2" t="s">
        <v>551</v>
      </c>
      <c r="F136" s="2" t="s">
        <v>552</v>
      </c>
      <c r="G136" s="3" t="s">
        <v>16</v>
      </c>
      <c r="H136" s="9" t="s">
        <v>55</v>
      </c>
      <c r="I136" s="9" t="s">
        <v>55</v>
      </c>
      <c r="J136" s="6" t="s">
        <v>19</v>
      </c>
      <c r="K136" s="2" t="s">
        <v>553</v>
      </c>
    </row>
    <row r="137" spans="1:11" s="2" customFormat="1" x14ac:dyDescent="0.25">
      <c r="A137" s="2">
        <v>136</v>
      </c>
      <c r="B137" s="2" t="s">
        <v>535</v>
      </c>
      <c r="C137" s="2" t="s">
        <v>549</v>
      </c>
      <c r="D137" s="2" t="s">
        <v>554</v>
      </c>
      <c r="E137" s="2" t="s">
        <v>555</v>
      </c>
      <c r="F137" s="2" t="s">
        <v>556</v>
      </c>
      <c r="G137" s="3" t="s">
        <v>16</v>
      </c>
      <c r="H137" s="9" t="s">
        <v>55</v>
      </c>
      <c r="I137" s="9" t="s">
        <v>55</v>
      </c>
      <c r="J137" s="6" t="s">
        <v>19</v>
      </c>
      <c r="K137" s="2" t="s">
        <v>557</v>
      </c>
    </row>
    <row r="138" spans="1:11" s="2" customFormat="1" x14ac:dyDescent="0.25">
      <c r="A138" s="2">
        <v>137</v>
      </c>
      <c r="B138" s="2" t="s">
        <v>535</v>
      </c>
      <c r="C138" s="2" t="s">
        <v>549</v>
      </c>
      <c r="D138" s="2" t="s">
        <v>558</v>
      </c>
      <c r="E138" s="2" t="s">
        <v>559</v>
      </c>
      <c r="F138" s="2" t="s">
        <v>560</v>
      </c>
      <c r="G138" s="3" t="s">
        <v>16</v>
      </c>
      <c r="H138" s="9" t="s">
        <v>55</v>
      </c>
      <c r="I138" s="9" t="s">
        <v>55</v>
      </c>
      <c r="J138" s="6" t="s">
        <v>19</v>
      </c>
      <c r="K138" s="2" t="s">
        <v>64</v>
      </c>
    </row>
    <row r="139" spans="1:11" s="2" customFormat="1" x14ac:dyDescent="0.25">
      <c r="A139" s="2">
        <v>138</v>
      </c>
      <c r="B139" s="2" t="s">
        <v>535</v>
      </c>
      <c r="C139" s="2" t="s">
        <v>561</v>
      </c>
      <c r="D139" s="2" t="s">
        <v>562</v>
      </c>
      <c r="E139" s="2" t="s">
        <v>563</v>
      </c>
      <c r="F139" s="2" t="s">
        <v>564</v>
      </c>
      <c r="G139" s="3" t="s">
        <v>16</v>
      </c>
      <c r="H139" s="7" t="s">
        <v>227</v>
      </c>
      <c r="I139" s="7" t="s">
        <v>26</v>
      </c>
      <c r="J139" s="6" t="s">
        <v>19</v>
      </c>
      <c r="K139" s="2" t="s">
        <v>371</v>
      </c>
    </row>
    <row r="140" spans="1:11" s="2" customFormat="1" x14ac:dyDescent="0.25">
      <c r="A140" s="2">
        <v>139</v>
      </c>
      <c r="B140" s="2" t="s">
        <v>565</v>
      </c>
      <c r="C140" s="2" t="s">
        <v>566</v>
      </c>
      <c r="D140" s="2" t="s">
        <v>567</v>
      </c>
      <c r="E140" s="2" t="s">
        <v>568</v>
      </c>
      <c r="F140" s="2" t="s">
        <v>569</v>
      </c>
      <c r="G140" s="3" t="s">
        <v>16</v>
      </c>
      <c r="H140" s="9" t="s">
        <v>55</v>
      </c>
      <c r="I140" s="9" t="s">
        <v>55</v>
      </c>
      <c r="J140" s="6" t="s">
        <v>19</v>
      </c>
      <c r="K140" s="2" t="s">
        <v>570</v>
      </c>
    </row>
    <row r="141" spans="1:11" s="2" customFormat="1" x14ac:dyDescent="0.25">
      <c r="A141" s="2">
        <v>140</v>
      </c>
      <c r="B141" s="2" t="s">
        <v>565</v>
      </c>
      <c r="C141" s="2" t="s">
        <v>566</v>
      </c>
      <c r="D141" s="2" t="s">
        <v>571</v>
      </c>
      <c r="E141" s="2" t="s">
        <v>572</v>
      </c>
      <c r="F141" s="2" t="s">
        <v>573</v>
      </c>
      <c r="G141" s="3" t="s">
        <v>16</v>
      </c>
      <c r="H141" s="9" t="s">
        <v>55</v>
      </c>
      <c r="I141" s="9" t="s">
        <v>55</v>
      </c>
      <c r="J141" s="6" t="s">
        <v>19</v>
      </c>
      <c r="K141" s="2" t="s">
        <v>64</v>
      </c>
    </row>
    <row r="142" spans="1:11" s="2" customFormat="1" x14ac:dyDescent="0.25">
      <c r="A142" s="2">
        <v>141</v>
      </c>
      <c r="B142" s="2" t="s">
        <v>565</v>
      </c>
      <c r="C142" s="2" t="s">
        <v>566</v>
      </c>
      <c r="D142" s="2" t="s">
        <v>574</v>
      </c>
      <c r="E142" s="2" t="s">
        <v>575</v>
      </c>
      <c r="F142" s="2" t="s">
        <v>576</v>
      </c>
      <c r="G142" s="3" t="s">
        <v>16</v>
      </c>
      <c r="H142" s="9" t="s">
        <v>55</v>
      </c>
      <c r="I142" s="9" t="s">
        <v>55</v>
      </c>
      <c r="J142" s="6" t="s">
        <v>19</v>
      </c>
      <c r="K142" s="2" t="s">
        <v>577</v>
      </c>
    </row>
    <row r="143" spans="1:11" s="2" customFormat="1" x14ac:dyDescent="0.25">
      <c r="A143" s="2">
        <v>142</v>
      </c>
      <c r="B143" s="2" t="s">
        <v>565</v>
      </c>
      <c r="C143" s="2" t="s">
        <v>566</v>
      </c>
      <c r="D143" s="2" t="s">
        <v>578</v>
      </c>
      <c r="E143" s="2" t="s">
        <v>579</v>
      </c>
      <c r="F143" s="2" t="s">
        <v>580</v>
      </c>
      <c r="G143" s="3" t="s">
        <v>16</v>
      </c>
      <c r="H143" s="9" t="s">
        <v>55</v>
      </c>
      <c r="I143" s="9" t="s">
        <v>55</v>
      </c>
      <c r="J143" s="6" t="s">
        <v>19</v>
      </c>
      <c r="K143" s="2" t="s">
        <v>581</v>
      </c>
    </row>
    <row r="144" spans="1:11" s="2" customFormat="1" x14ac:dyDescent="0.25">
      <c r="A144" s="2">
        <v>143</v>
      </c>
      <c r="B144" s="2" t="s">
        <v>565</v>
      </c>
      <c r="C144" s="2" t="s">
        <v>566</v>
      </c>
      <c r="D144" s="2" t="s">
        <v>582</v>
      </c>
      <c r="E144" s="2" t="s">
        <v>583</v>
      </c>
      <c r="F144" s="2" t="s">
        <v>584</v>
      </c>
      <c r="G144" s="3" t="s">
        <v>16</v>
      </c>
      <c r="H144" s="9" t="s">
        <v>55</v>
      </c>
      <c r="I144" s="9" t="s">
        <v>55</v>
      </c>
      <c r="J144" s="6" t="s">
        <v>19</v>
      </c>
      <c r="K144" s="2" t="s">
        <v>581</v>
      </c>
    </row>
    <row r="145" spans="1:11" s="2" customFormat="1" x14ac:dyDescent="0.25">
      <c r="A145" s="2">
        <v>144</v>
      </c>
      <c r="B145" s="2" t="s">
        <v>565</v>
      </c>
      <c r="C145" s="2" t="s">
        <v>585</v>
      </c>
      <c r="D145" s="2" t="s">
        <v>586</v>
      </c>
      <c r="E145" s="2" t="s">
        <v>587</v>
      </c>
      <c r="F145" s="2" t="s">
        <v>588</v>
      </c>
      <c r="G145" s="3" t="s">
        <v>16</v>
      </c>
      <c r="H145" s="9" t="s">
        <v>55</v>
      </c>
      <c r="I145" s="9" t="s">
        <v>55</v>
      </c>
      <c r="J145" s="6" t="s">
        <v>19</v>
      </c>
      <c r="K145" s="2" t="s">
        <v>589</v>
      </c>
    </row>
    <row r="146" spans="1:11" s="2" customFormat="1" x14ac:dyDescent="0.25">
      <c r="A146" s="2">
        <v>145</v>
      </c>
      <c r="B146" s="2" t="s">
        <v>565</v>
      </c>
      <c r="C146" s="2" t="s">
        <v>585</v>
      </c>
      <c r="D146" s="2" t="s">
        <v>590</v>
      </c>
      <c r="E146" s="2" t="s">
        <v>591</v>
      </c>
      <c r="F146" s="2" t="s">
        <v>592</v>
      </c>
      <c r="G146" s="3" t="s">
        <v>16</v>
      </c>
      <c r="H146" s="10" t="s">
        <v>390</v>
      </c>
      <c r="I146" s="8" t="s">
        <v>49</v>
      </c>
      <c r="J146" s="6" t="s">
        <v>19</v>
      </c>
      <c r="K146" s="2" t="s">
        <v>593</v>
      </c>
    </row>
    <row r="147" spans="1:11" s="2" customFormat="1" x14ac:dyDescent="0.25">
      <c r="A147" s="2">
        <v>146</v>
      </c>
      <c r="B147" s="2" t="s">
        <v>594</v>
      </c>
      <c r="C147" s="2" t="s">
        <v>595</v>
      </c>
      <c r="D147" s="2" t="s">
        <v>596</v>
      </c>
      <c r="E147" s="2" t="s">
        <v>597</v>
      </c>
      <c r="F147" s="2" t="s">
        <v>598</v>
      </c>
      <c r="G147" s="3" t="s">
        <v>16</v>
      </c>
      <c r="H147" s="9" t="s">
        <v>55</v>
      </c>
      <c r="I147" s="9" t="s">
        <v>55</v>
      </c>
      <c r="J147" s="6" t="s">
        <v>19</v>
      </c>
      <c r="K147" s="2" t="s">
        <v>64</v>
      </c>
    </row>
    <row r="148" spans="1:11" s="2" customFormat="1" x14ac:dyDescent="0.25">
      <c r="A148" s="2">
        <v>147</v>
      </c>
      <c r="B148" s="2" t="s">
        <v>594</v>
      </c>
      <c r="C148" s="2" t="s">
        <v>345</v>
      </c>
      <c r="D148" s="2" t="s">
        <v>599</v>
      </c>
      <c r="E148" s="2" t="s">
        <v>600</v>
      </c>
      <c r="F148" s="2" t="s">
        <v>601</v>
      </c>
      <c r="G148" s="3" t="s">
        <v>16</v>
      </c>
      <c r="H148" s="9" t="s">
        <v>55</v>
      </c>
      <c r="I148" s="9" t="s">
        <v>55</v>
      </c>
      <c r="J148" s="6" t="s">
        <v>19</v>
      </c>
      <c r="K148" s="2" t="s">
        <v>602</v>
      </c>
    </row>
    <row r="149" spans="1:11" s="2" customFormat="1" x14ac:dyDescent="0.25">
      <c r="A149" s="2">
        <v>148</v>
      </c>
      <c r="B149" s="2" t="s">
        <v>594</v>
      </c>
      <c r="C149" s="2" t="s">
        <v>603</v>
      </c>
      <c r="D149" s="2" t="s">
        <v>604</v>
      </c>
      <c r="E149" s="2" t="s">
        <v>605</v>
      </c>
      <c r="F149" s="2" t="s">
        <v>606</v>
      </c>
      <c r="G149" s="3" t="s">
        <v>16</v>
      </c>
      <c r="H149" s="8" t="s">
        <v>48</v>
      </c>
      <c r="I149" s="7" t="s">
        <v>26</v>
      </c>
      <c r="J149" s="6" t="s">
        <v>19</v>
      </c>
      <c r="K149" s="2" t="s">
        <v>607</v>
      </c>
    </row>
    <row r="150" spans="1:11" s="2" customFormat="1" x14ac:dyDescent="0.25">
      <c r="A150" s="2">
        <v>149</v>
      </c>
      <c r="B150" s="2" t="s">
        <v>594</v>
      </c>
      <c r="C150" s="2" t="s">
        <v>603</v>
      </c>
      <c r="D150" s="2" t="s">
        <v>608</v>
      </c>
      <c r="E150" s="2" t="s">
        <v>609</v>
      </c>
      <c r="F150" s="2" t="s">
        <v>610</v>
      </c>
      <c r="G150" s="3" t="s">
        <v>16</v>
      </c>
      <c r="H150" s="8" t="s">
        <v>48</v>
      </c>
      <c r="I150" s="5" t="s">
        <v>18</v>
      </c>
      <c r="J150" s="6" t="s">
        <v>19</v>
      </c>
      <c r="K150" s="2" t="s">
        <v>611</v>
      </c>
    </row>
    <row r="151" spans="1:11" s="2" customFormat="1" x14ac:dyDescent="0.25">
      <c r="A151" s="2">
        <v>150</v>
      </c>
      <c r="B151" s="2" t="s">
        <v>594</v>
      </c>
      <c r="C151" s="2" t="s">
        <v>603</v>
      </c>
      <c r="D151" s="2" t="s">
        <v>612</v>
      </c>
      <c r="E151" s="2" t="s">
        <v>613</v>
      </c>
      <c r="F151" s="2" t="s">
        <v>614</v>
      </c>
      <c r="G151" s="3" t="s">
        <v>16</v>
      </c>
      <c r="H151" s="8" t="s">
        <v>48</v>
      </c>
      <c r="I151" s="5" t="s">
        <v>18</v>
      </c>
      <c r="J151" s="6" t="s">
        <v>19</v>
      </c>
      <c r="K151" s="2" t="s">
        <v>615</v>
      </c>
    </row>
    <row r="152" spans="1:11" s="2" customFormat="1" x14ac:dyDescent="0.25">
      <c r="A152" s="2">
        <v>151</v>
      </c>
      <c r="B152" s="2" t="s">
        <v>594</v>
      </c>
      <c r="C152" s="2" t="s">
        <v>603</v>
      </c>
      <c r="D152" s="2" t="s">
        <v>616</v>
      </c>
      <c r="E152" s="2" t="s">
        <v>617</v>
      </c>
      <c r="F152" s="2" t="s">
        <v>618</v>
      </c>
      <c r="G152" s="3" t="s">
        <v>16</v>
      </c>
      <c r="H152" s="8" t="s">
        <v>48</v>
      </c>
      <c r="I152" s="7" t="s">
        <v>26</v>
      </c>
      <c r="J152" s="6" t="s">
        <v>19</v>
      </c>
      <c r="K152" s="2" t="s">
        <v>619</v>
      </c>
    </row>
    <row r="153" spans="1:11" s="2" customFormat="1" x14ac:dyDescent="0.25">
      <c r="A153" s="2">
        <v>152</v>
      </c>
      <c r="B153" s="2" t="s">
        <v>594</v>
      </c>
      <c r="C153" s="2" t="s">
        <v>620</v>
      </c>
      <c r="D153" s="2" t="s">
        <v>621</v>
      </c>
      <c r="E153" s="2" t="s">
        <v>622</v>
      </c>
      <c r="F153" s="2" t="s">
        <v>623</v>
      </c>
      <c r="G153" s="3" t="s">
        <v>16</v>
      </c>
      <c r="H153" s="4" t="s">
        <v>17</v>
      </c>
      <c r="I153" s="8" t="s">
        <v>49</v>
      </c>
      <c r="J153" s="6" t="s">
        <v>19</v>
      </c>
      <c r="K153" s="2" t="s">
        <v>624</v>
      </c>
    </row>
    <row r="154" spans="1:11" s="2" customFormat="1" x14ac:dyDescent="0.25">
      <c r="A154" s="2">
        <v>153</v>
      </c>
      <c r="B154" s="2" t="s">
        <v>594</v>
      </c>
      <c r="C154" s="2" t="s">
        <v>625</v>
      </c>
      <c r="D154" s="2" t="s">
        <v>626</v>
      </c>
      <c r="E154" s="2" t="s">
        <v>627</v>
      </c>
      <c r="F154" s="2" t="s">
        <v>628</v>
      </c>
      <c r="G154" s="3" t="s">
        <v>16</v>
      </c>
      <c r="H154" s="9" t="s">
        <v>55</v>
      </c>
      <c r="I154" s="9" t="s">
        <v>55</v>
      </c>
      <c r="J154" s="6" t="s">
        <v>19</v>
      </c>
      <c r="K154" s="2" t="s">
        <v>629</v>
      </c>
    </row>
  </sheetData>
  <autoFilter ref="A1:K154"/>
  <conditionalFormatting sqref="J2:J154">
    <cfRule type="expression" dxfId="0" priority="1">
      <formula>$J2="Yes"</formula>
    </cfRule>
    <cfRule type="expression" dxfId="1" priority="2">
      <formula>$J2="Partial"</formula>
    </cfRule>
  </conditionalFormatting>
  <dataValidations count="2">
    <dataValidation type="list" showErrorMessage="1" errorTitle="Invalid" error="Pick Yes / No / Partial" sqref="J10:J154">
      <formula1>"Yes,No,Partial"</formula1>
    </dataValidation>
    <dataValidation type="list" showErrorMessage="1" errorTitle="Invalid" error="Pick Yes / No / Partial" sqref="J2:J154">
      <formula1>"Yes,No,Partial"</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 width="24" customWidth="1"/>
    <col min="2" max="2" width="11" customWidth="1"/>
    <col min="3" max="3" width="12" customWidth="1"/>
    <col min="4" max="4" width="13" customWidth="1"/>
    <col min="5" max="8" width="8" customWidth="1"/>
    <col min="10" max="10" width="8" customWidth="1"/>
  </cols>
  <sheetData>
    <row r="1" ht="22" customHeight="1" spans="1:10" s="11" customFormat="1" x14ac:dyDescent="0.25">
      <c r="A1" s="11" t="s">
        <v>1</v>
      </c>
      <c r="B1" s="11" t="s">
        <v>630</v>
      </c>
      <c r="C1" s="11" t="s">
        <v>631</v>
      </c>
      <c r="D1" s="11" t="s">
        <v>632</v>
      </c>
      <c r="E1" s="11" t="s">
        <v>17</v>
      </c>
      <c r="F1" s="11" t="s">
        <v>33</v>
      </c>
      <c r="G1" s="11" t="s">
        <v>227</v>
      </c>
      <c r="H1" s="11" t="s">
        <v>48</v>
      </c>
      <c r="I1" s="11" t="s">
        <v>390</v>
      </c>
      <c r="J1" s="11" t="s">
        <v>55</v>
      </c>
    </row>
    <row r="2" spans="1:10" s="12" customFormat="1" x14ac:dyDescent="0.25">
      <c r="A2" s="12" t="s">
        <v>11</v>
      </c>
      <c r="B2" s="12">
        <f>COUNTIF(Features!B:B,"Engine Core")</f>
      </c>
      <c r="C2" s="12">
        <f>COUNTIFS(Features!B:B,"Engine Core",Features!J:J,"Yes")</f>
      </c>
      <c r="D2" s="13">
        <f>IFERROR(C2/B2,0)</f>
      </c>
      <c r="E2" s="12">
        <f>COUNTIFS(Features!B:B,"Engine Core",Features!H:H,"v1.0")</f>
      </c>
      <c r="F2" s="12">
        <f>COUNTIFS(Features!B:B,"Engine Core",Features!H:H,"v1.5")</f>
      </c>
      <c r="G2" s="12">
        <f>COUNTIFS(Features!B:B,"Engine Core",Features!H:H,"v2.0")</f>
      </c>
      <c r="H2" s="12">
        <f>COUNTIFS(Features!B:B,"Engine Core",Features!H:H,"v2.5")</f>
      </c>
      <c r="I2" s="12">
        <f>COUNTIFS(Features!B:B,"Engine Core",Features!H:H,"v3.0+")</f>
      </c>
      <c r="J2" s="12">
        <f>COUNTIFS(Features!B:B,"Engine Core",Features!H:H,"Skip")</f>
      </c>
    </row>
    <row r="3" spans="1:10" s="12" customFormat="1" x14ac:dyDescent="0.25">
      <c r="A3" s="12" t="s">
        <v>65</v>
      </c>
      <c r="B3" s="12">
        <f>COUNTIF(Features!B:B,"Detectors")</f>
      </c>
      <c r="C3" s="12">
        <f>COUNTIFS(Features!B:B,"Detectors",Features!J:J,"Yes")</f>
      </c>
      <c r="D3" s="13">
        <f>IFERROR(C3/B3,0)</f>
      </c>
      <c r="E3" s="12">
        <f>COUNTIFS(Features!B:B,"Detectors",Features!H:H,"v1.0")</f>
      </c>
      <c r="F3" s="12">
        <f>COUNTIFS(Features!B:B,"Detectors",Features!H:H,"v1.5")</f>
      </c>
      <c r="G3" s="12">
        <f>COUNTIFS(Features!B:B,"Detectors",Features!H:H,"v2.0")</f>
      </c>
      <c r="H3" s="12">
        <f>COUNTIFS(Features!B:B,"Detectors",Features!H:H,"v2.5")</f>
      </c>
      <c r="I3" s="12">
        <f>COUNTIFS(Features!B:B,"Detectors",Features!H:H,"v3.0+")</f>
      </c>
      <c r="J3" s="12">
        <f>COUNTIFS(Features!B:B,"Detectors",Features!H:H,"Skip")</f>
      </c>
    </row>
    <row r="4" spans="1:10" s="12" customFormat="1" x14ac:dyDescent="0.25">
      <c r="A4" s="12" t="s">
        <v>140</v>
      </c>
      <c r="B4" s="12">
        <f>COUNTIF(Features!B:B,"Attribution")</f>
      </c>
      <c r="C4" s="12">
        <f>COUNTIFS(Features!B:B,"Attribution",Features!J:J,"Yes")</f>
      </c>
      <c r="D4" s="13">
        <f>IFERROR(C4/B4,0)</f>
      </c>
      <c r="E4" s="12">
        <f>COUNTIFS(Features!B:B,"Attribution",Features!H:H,"v1.0")</f>
      </c>
      <c r="F4" s="12">
        <f>COUNTIFS(Features!B:B,"Attribution",Features!H:H,"v1.5")</f>
      </c>
      <c r="G4" s="12">
        <f>COUNTIFS(Features!B:B,"Attribution",Features!H:H,"v2.0")</f>
      </c>
      <c r="H4" s="12">
        <f>COUNTIFS(Features!B:B,"Attribution",Features!H:H,"v2.5")</f>
      </c>
      <c r="I4" s="12">
        <f>COUNTIFS(Features!B:B,"Attribution",Features!H:H,"v3.0+")</f>
      </c>
      <c r="J4" s="12">
        <f>COUNTIFS(Features!B:B,"Attribution",Features!H:H,"Skip")</f>
      </c>
    </row>
    <row r="5" spans="1:10" s="12" customFormat="1" x14ac:dyDescent="0.25">
      <c r="A5" s="12" t="s">
        <v>160</v>
      </c>
      <c r="B5" s="12">
        <f>COUNTIF(Features!B:B,"Recovery")</f>
      </c>
      <c r="C5" s="12">
        <f>COUNTIFS(Features!B:B,"Recovery",Features!J:J,"Yes")</f>
      </c>
      <c r="D5" s="13">
        <f>IFERROR(C5/B5,0)</f>
      </c>
      <c r="E5" s="12">
        <f>COUNTIFS(Features!B:B,"Recovery",Features!H:H,"v1.0")</f>
      </c>
      <c r="F5" s="12">
        <f>COUNTIFS(Features!B:B,"Recovery",Features!H:H,"v1.5")</f>
      </c>
      <c r="G5" s="12">
        <f>COUNTIFS(Features!B:B,"Recovery",Features!H:H,"v2.0")</f>
      </c>
      <c r="H5" s="12">
        <f>COUNTIFS(Features!B:B,"Recovery",Features!H:H,"v2.5")</f>
      </c>
      <c r="I5" s="12">
        <f>COUNTIFS(Features!B:B,"Recovery",Features!H:H,"v3.0+")</f>
      </c>
      <c r="J5" s="12">
        <f>COUNTIFS(Features!B:B,"Recovery",Features!H:H,"Skip")</f>
      </c>
    </row>
    <row r="6" spans="1:10" s="12" customFormat="1" x14ac:dyDescent="0.25">
      <c r="A6" s="12" t="s">
        <v>214</v>
      </c>
      <c r="B6" s="12">
        <f>COUNTIF(Features!B:B,"Dashboard")</f>
      </c>
      <c r="C6" s="12">
        <f>COUNTIFS(Features!B:B,"Dashboard",Features!J:J,"Yes")</f>
      </c>
      <c r="D6" s="13">
        <f>IFERROR(C6/B6,0)</f>
      </c>
      <c r="E6" s="12">
        <f>COUNTIFS(Features!B:B,"Dashboard",Features!H:H,"v1.0")</f>
      </c>
      <c r="F6" s="12">
        <f>COUNTIFS(Features!B:B,"Dashboard",Features!H:H,"v1.5")</f>
      </c>
      <c r="G6" s="12">
        <f>COUNTIFS(Features!B:B,"Dashboard",Features!H:H,"v2.0")</f>
      </c>
      <c r="H6" s="12">
        <f>COUNTIFS(Features!B:B,"Dashboard",Features!H:H,"v2.5")</f>
      </c>
      <c r="I6" s="12">
        <f>COUNTIFS(Features!B:B,"Dashboard",Features!H:H,"v3.0+")</f>
      </c>
      <c r="J6" s="12">
        <f>COUNTIFS(Features!B:B,"Dashboard",Features!H:H,"Skip")</f>
      </c>
    </row>
    <row r="7" spans="1:10" s="12" customFormat="1" x14ac:dyDescent="0.25">
      <c r="A7" s="12" t="s">
        <v>254</v>
      </c>
      <c r="B7" s="12">
        <f>COUNTIF(Features!B:B,"Matrix")</f>
      </c>
      <c r="C7" s="12">
        <f>COUNTIFS(Features!B:B,"Matrix",Features!J:J,"Yes")</f>
      </c>
      <c r="D7" s="13">
        <f>IFERROR(C7/B7,0)</f>
      </c>
      <c r="E7" s="12">
        <f>COUNTIFS(Features!B:B,"Matrix",Features!H:H,"v1.0")</f>
      </c>
      <c r="F7" s="12">
        <f>COUNTIFS(Features!B:B,"Matrix",Features!H:H,"v1.5")</f>
      </c>
      <c r="G7" s="12">
        <f>COUNTIFS(Features!B:B,"Matrix",Features!H:H,"v2.0")</f>
      </c>
      <c r="H7" s="12">
        <f>COUNTIFS(Features!B:B,"Matrix",Features!H:H,"v2.5")</f>
      </c>
      <c r="I7" s="12">
        <f>COUNTIFS(Features!B:B,"Matrix",Features!H:H,"v3.0+")</f>
      </c>
      <c r="J7" s="12">
        <f>COUNTIFS(Features!B:B,"Matrix",Features!H:H,"Skip")</f>
      </c>
    </row>
    <row r="8" spans="1:10" s="12" customFormat="1" x14ac:dyDescent="0.25">
      <c r="A8" s="12" t="s">
        <v>271</v>
      </c>
      <c r="B8" s="12">
        <f>COUNTIF(Features!B:B,"Reports")</f>
      </c>
      <c r="C8" s="12">
        <f>COUNTIFS(Features!B:B,"Reports",Features!J:J,"Yes")</f>
      </c>
      <c r="D8" s="13">
        <f>IFERROR(C8/B8,0)</f>
      </c>
      <c r="E8" s="12">
        <f>COUNTIFS(Features!B:B,"Reports",Features!H:H,"v1.0")</f>
      </c>
      <c r="F8" s="12">
        <f>COUNTIFS(Features!B:B,"Reports",Features!H:H,"v1.5")</f>
      </c>
      <c r="G8" s="12">
        <f>COUNTIFS(Features!B:B,"Reports",Features!H:H,"v2.0")</f>
      </c>
      <c r="H8" s="12">
        <f>COUNTIFS(Features!B:B,"Reports",Features!H:H,"v2.5")</f>
      </c>
      <c r="I8" s="12">
        <f>COUNTIFS(Features!B:B,"Reports",Features!H:H,"v3.0+")</f>
      </c>
      <c r="J8" s="12">
        <f>COUNTIFS(Features!B:B,"Reports",Features!H:H,"Skip")</f>
      </c>
    </row>
    <row r="9" spans="1:10" s="12" customFormat="1" x14ac:dyDescent="0.25">
      <c r="A9" s="12" t="s">
        <v>287</v>
      </c>
      <c r="B9" s="12">
        <f>COUNTIF(Features!B:B,"Filter")</f>
      </c>
      <c r="C9" s="12">
        <f>COUNTIFS(Features!B:B,"Filter",Features!J:J,"Yes")</f>
      </c>
      <c r="D9" s="13">
        <f>IFERROR(C9/B9,0)</f>
      </c>
      <c r="E9" s="12">
        <f>COUNTIFS(Features!B:B,"Filter",Features!H:H,"v1.0")</f>
      </c>
      <c r="F9" s="12">
        <f>COUNTIFS(Features!B:B,"Filter",Features!H:H,"v1.5")</f>
      </c>
      <c r="G9" s="12">
        <f>COUNTIFS(Features!B:B,"Filter",Features!H:H,"v2.0")</f>
      </c>
      <c r="H9" s="12">
        <f>COUNTIFS(Features!B:B,"Filter",Features!H:H,"v2.5")</f>
      </c>
      <c r="I9" s="12">
        <f>COUNTIFS(Features!B:B,"Filter",Features!H:H,"v3.0+")</f>
      </c>
      <c r="J9" s="12">
        <f>COUNTIFS(Features!B:B,"Filter",Features!H:H,"Skip")</f>
      </c>
    </row>
    <row r="10" spans="1:10" s="12" customFormat="1" x14ac:dyDescent="0.25">
      <c r="A10" s="12" t="s">
        <v>305</v>
      </c>
      <c r="B10" s="12">
        <f>COUNTIF(Features!B:B,"Bulk")</f>
      </c>
      <c r="C10" s="12">
        <f>COUNTIFS(Features!B:B,"Bulk",Features!J:J,"Yes")</f>
      </c>
      <c r="D10" s="13">
        <f>IFERROR(C10/B10,0)</f>
      </c>
      <c r="E10" s="12">
        <f>COUNTIFS(Features!B:B,"Bulk",Features!H:H,"v1.0")</f>
      </c>
      <c r="F10" s="12">
        <f>COUNTIFS(Features!B:B,"Bulk",Features!H:H,"v1.5")</f>
      </c>
      <c r="G10" s="12">
        <f>COUNTIFS(Features!B:B,"Bulk",Features!H:H,"v2.0")</f>
      </c>
      <c r="H10" s="12">
        <f>COUNTIFS(Features!B:B,"Bulk",Features!H:H,"v2.5")</f>
      </c>
      <c r="I10" s="12">
        <f>COUNTIFS(Features!B:B,"Bulk",Features!H:H,"v3.0+")</f>
      </c>
      <c r="J10" s="12">
        <f>COUNTIFS(Features!B:B,"Bulk",Features!H:H,"Skip")</f>
      </c>
    </row>
    <row r="11" spans="1:10" s="12" customFormat="1" x14ac:dyDescent="0.25">
      <c r="A11" s="12" t="s">
        <v>320</v>
      </c>
      <c r="B11" s="12">
        <f>COUNTIF(Features!B:B,"Hide")</f>
      </c>
      <c r="C11" s="12">
        <f>COUNTIFS(Features!B:B,"Hide",Features!J:J,"Yes")</f>
      </c>
      <c r="D11" s="13">
        <f>IFERROR(C11/B11,0)</f>
      </c>
      <c r="E11" s="12">
        <f>COUNTIFS(Features!B:B,"Hide",Features!H:H,"v1.0")</f>
      </c>
      <c r="F11" s="12">
        <f>COUNTIFS(Features!B:B,"Hide",Features!H:H,"v1.5")</f>
      </c>
      <c r="G11" s="12">
        <f>COUNTIFS(Features!B:B,"Hide",Features!H:H,"v2.0")</f>
      </c>
      <c r="H11" s="12">
        <f>COUNTIFS(Features!B:B,"Hide",Features!H:H,"v2.5")</f>
      </c>
      <c r="I11" s="12">
        <f>COUNTIFS(Features!B:B,"Hide",Features!H:H,"v3.0+")</f>
      </c>
      <c r="J11" s="12">
        <f>COUNTIFS(Features!B:B,"Hide",Features!H:H,"Skip")</f>
      </c>
    </row>
    <row r="12" spans="1:10" s="12" customFormat="1" x14ac:dyDescent="0.25">
      <c r="A12" s="12" t="s">
        <v>344</v>
      </c>
      <c r="B12" s="12">
        <f>COUNTIF(Features!B:B,"Notes")</f>
      </c>
      <c r="C12" s="12">
        <f>COUNTIFS(Features!B:B,"Notes",Features!J:J,"Yes")</f>
      </c>
      <c r="D12" s="13">
        <f>IFERROR(C12/B12,0)</f>
      </c>
      <c r="E12" s="12">
        <f>COUNTIFS(Features!B:B,"Notes",Features!H:H,"v1.0")</f>
      </c>
      <c r="F12" s="12">
        <f>COUNTIFS(Features!B:B,"Notes",Features!H:H,"v1.5")</f>
      </c>
      <c r="G12" s="12">
        <f>COUNTIFS(Features!B:B,"Notes",Features!H:H,"v2.0")</f>
      </c>
      <c r="H12" s="12">
        <f>COUNTIFS(Features!B:B,"Notes",Features!H:H,"v2.5")</f>
      </c>
      <c r="I12" s="12">
        <f>COUNTIFS(Features!B:B,"Notes",Features!H:H,"v3.0+")</f>
      </c>
      <c r="J12" s="12">
        <f>COUNTIFS(Features!B:B,"Notes",Features!H:H,"Skip")</f>
      </c>
    </row>
    <row r="13" spans="1:10" s="12" customFormat="1" x14ac:dyDescent="0.25">
      <c r="A13" s="12" t="s">
        <v>366</v>
      </c>
      <c r="B13" s="12">
        <f>COUNTIF(Features!B:B,"Attribution Map")</f>
      </c>
      <c r="C13" s="12">
        <f>COUNTIFS(Features!B:B,"Attribution Map",Features!J:J,"Yes")</f>
      </c>
      <c r="D13" s="13">
        <f>IFERROR(C13/B13,0)</f>
      </c>
      <c r="E13" s="12">
        <f>COUNTIFS(Features!B:B,"Attribution Map",Features!H:H,"v1.0")</f>
      </c>
      <c r="F13" s="12">
        <f>COUNTIFS(Features!B:B,"Attribution Map",Features!H:H,"v1.5")</f>
      </c>
      <c r="G13" s="12">
        <f>COUNTIFS(Features!B:B,"Attribution Map",Features!H:H,"v2.0")</f>
      </c>
      <c r="H13" s="12">
        <f>COUNTIFS(Features!B:B,"Attribution Map",Features!H:H,"v2.5")</f>
      </c>
      <c r="I13" s="12">
        <f>COUNTIFS(Features!B:B,"Attribution Map",Features!H:H,"v3.0+")</f>
      </c>
      <c r="J13" s="12">
        <f>COUNTIFS(Features!B:B,"Attribution Map",Features!H:H,"Skip")</f>
      </c>
    </row>
    <row r="14" spans="1:10" s="12" customFormat="1" x14ac:dyDescent="0.25">
      <c r="A14" s="12" t="s">
        <v>381</v>
      </c>
      <c r="B14" s="12">
        <f>COUNTIF(Features!B:B,"Tabs")</f>
      </c>
      <c r="C14" s="12">
        <f>COUNTIFS(Features!B:B,"Tabs",Features!J:J,"Yes")</f>
      </c>
      <c r="D14" s="13">
        <f>IFERROR(C14/B14,0)</f>
      </c>
      <c r="E14" s="12">
        <f>COUNTIFS(Features!B:B,"Tabs",Features!H:H,"v1.0")</f>
      </c>
      <c r="F14" s="12">
        <f>COUNTIFS(Features!B:B,"Tabs",Features!H:H,"v1.5")</f>
      </c>
      <c r="G14" s="12">
        <f>COUNTIFS(Features!B:B,"Tabs",Features!H:H,"v2.0")</f>
      </c>
      <c r="H14" s="12">
        <f>COUNTIFS(Features!B:B,"Tabs",Features!H:H,"v2.5")</f>
      </c>
      <c r="I14" s="12">
        <f>COUNTIFS(Features!B:B,"Tabs",Features!H:H,"v3.0+")</f>
      </c>
      <c r="J14" s="12">
        <f>COUNTIFS(Features!B:B,"Tabs",Features!H:H,"Skip")</f>
      </c>
    </row>
    <row r="15" spans="1:10" s="12" customFormat="1" x14ac:dyDescent="0.25">
      <c r="A15" s="12" t="s">
        <v>292</v>
      </c>
      <c r="B15" s="12">
        <f>COUNTIF(Features!B:B,"Issues")</f>
      </c>
      <c r="C15" s="12">
        <f>COUNTIFS(Features!B:B,"Issues",Features!J:J,"Yes")</f>
      </c>
      <c r="D15" s="13">
        <f>IFERROR(C15/B15,0)</f>
      </c>
      <c r="E15" s="12">
        <f>COUNTIFS(Features!B:B,"Issues",Features!H:H,"v1.0")</f>
      </c>
      <c r="F15" s="12">
        <f>COUNTIFS(Features!B:B,"Issues",Features!H:H,"v1.5")</f>
      </c>
      <c r="G15" s="12">
        <f>COUNTIFS(Features!B:B,"Issues",Features!H:H,"v2.0")</f>
      </c>
      <c r="H15" s="12">
        <f>COUNTIFS(Features!B:B,"Issues",Features!H:H,"v2.5")</f>
      </c>
      <c r="I15" s="12">
        <f>COUNTIFS(Features!B:B,"Issues",Features!H:H,"v3.0+")</f>
      </c>
      <c r="J15" s="12">
        <f>COUNTIFS(Features!B:B,"Issues",Features!H:H,"Skip")</f>
      </c>
    </row>
    <row r="16" spans="1:10" s="12" customFormat="1" x14ac:dyDescent="0.25">
      <c r="A16" s="12" t="s">
        <v>419</v>
      </c>
      <c r="B16" s="12">
        <f>COUNTIF(Features!B:B,"Finding Detail")</f>
      </c>
      <c r="C16" s="12">
        <f>COUNTIFS(Features!B:B,"Finding Detail",Features!J:J,"Yes")</f>
      </c>
      <c r="D16" s="13">
        <f>IFERROR(C16/B16,0)</f>
      </c>
      <c r="E16" s="12">
        <f>COUNTIFS(Features!B:B,"Finding Detail",Features!H:H,"v1.0")</f>
      </c>
      <c r="F16" s="12">
        <f>COUNTIFS(Features!B:B,"Finding Detail",Features!H:H,"v1.5")</f>
      </c>
      <c r="G16" s="12">
        <f>COUNTIFS(Features!B:B,"Finding Detail",Features!H:H,"v2.0")</f>
      </c>
      <c r="H16" s="12">
        <f>COUNTIFS(Features!B:B,"Finding Detail",Features!H:H,"v2.5")</f>
      </c>
      <c r="I16" s="12">
        <f>COUNTIFS(Features!B:B,"Finding Detail",Features!H:H,"v3.0+")</f>
      </c>
      <c r="J16" s="12">
        <f>COUNTIFS(Features!B:B,"Finding Detail",Features!H:H,"Skip")</f>
      </c>
    </row>
    <row r="17" spans="1:10" s="12" customFormat="1" x14ac:dyDescent="0.25">
      <c r="A17" s="12" t="s">
        <v>436</v>
      </c>
      <c r="B17" s="12">
        <f>COUNTIF(Features!B:B,"UX")</f>
      </c>
      <c r="C17" s="12">
        <f>COUNTIFS(Features!B:B,"UX",Features!J:J,"Yes")</f>
      </c>
      <c r="D17" s="13">
        <f>IFERROR(C17/B17,0)</f>
      </c>
      <c r="E17" s="12">
        <f>COUNTIFS(Features!B:B,"UX",Features!H:H,"v1.0")</f>
      </c>
      <c r="F17" s="12">
        <f>COUNTIFS(Features!B:B,"UX",Features!H:H,"v1.5")</f>
      </c>
      <c r="G17" s="12">
        <f>COUNTIFS(Features!B:B,"UX",Features!H:H,"v2.0")</f>
      </c>
      <c r="H17" s="12">
        <f>COUNTIFS(Features!B:B,"UX",Features!H:H,"v2.5")</f>
      </c>
      <c r="I17" s="12">
        <f>COUNTIFS(Features!B:B,"UX",Features!H:H,"v3.0+")</f>
      </c>
      <c r="J17" s="12">
        <f>COUNTIFS(Features!B:B,"UX",Features!H:H,"Skip")</f>
      </c>
    </row>
    <row r="18" spans="1:10" s="12" customFormat="1" x14ac:dyDescent="0.25">
      <c r="A18" s="12" t="s">
        <v>478</v>
      </c>
      <c r="B18" s="12">
        <f>COUNTIF(Features!B:B,"Forensic Diff")</f>
      </c>
      <c r="C18" s="12">
        <f>COUNTIFS(Features!B:B,"Forensic Diff",Features!J:J,"Yes")</f>
      </c>
      <c r="D18" s="13">
        <f>IFERROR(C18/B18,0)</f>
      </c>
      <c r="E18" s="12">
        <f>COUNTIFS(Features!B:B,"Forensic Diff",Features!H:H,"v1.0")</f>
      </c>
      <c r="F18" s="12">
        <f>COUNTIFS(Features!B:B,"Forensic Diff",Features!H:H,"v1.5")</f>
      </c>
      <c r="G18" s="12">
        <f>COUNTIFS(Features!B:B,"Forensic Diff",Features!H:H,"v2.0")</f>
      </c>
      <c r="H18" s="12">
        <f>COUNTIFS(Features!B:B,"Forensic Diff",Features!H:H,"v2.5")</f>
      </c>
      <c r="I18" s="12">
        <f>COUNTIFS(Features!B:B,"Forensic Diff",Features!H:H,"v3.0+")</f>
      </c>
      <c r="J18" s="12">
        <f>COUNTIFS(Features!B:B,"Forensic Diff",Features!H:H,"Skip")</f>
      </c>
    </row>
    <row r="19" spans="1:10" s="12" customFormat="1" x14ac:dyDescent="0.25">
      <c r="A19" s="12" t="s">
        <v>487</v>
      </c>
      <c r="B19" s="12">
        <f>COUNTIF(Features!B:B,"Auth / Onboarding")</f>
      </c>
      <c r="C19" s="12">
        <f>COUNTIFS(Features!B:B,"Auth / Onboarding",Features!J:J,"Yes")</f>
      </c>
      <c r="D19" s="13">
        <f>IFERROR(C19/B19,0)</f>
      </c>
      <c r="E19" s="12">
        <f>COUNTIFS(Features!B:B,"Auth / Onboarding",Features!H:H,"v1.0")</f>
      </c>
      <c r="F19" s="12">
        <f>COUNTIFS(Features!B:B,"Auth / Onboarding",Features!H:H,"v1.5")</f>
      </c>
      <c r="G19" s="12">
        <f>COUNTIFS(Features!B:B,"Auth / Onboarding",Features!H:H,"v2.0")</f>
      </c>
      <c r="H19" s="12">
        <f>COUNTIFS(Features!B:B,"Auth / Onboarding",Features!H:H,"v2.5")</f>
      </c>
      <c r="I19" s="12">
        <f>COUNTIFS(Features!B:B,"Auth / Onboarding",Features!H:H,"v3.0+")</f>
      </c>
      <c r="J19" s="12">
        <f>COUNTIFS(Features!B:B,"Auth / Onboarding",Features!H:H,"Skip")</f>
      </c>
    </row>
    <row r="20" spans="1:10" s="12" customFormat="1" x14ac:dyDescent="0.25">
      <c r="A20" s="12" t="s">
        <v>535</v>
      </c>
      <c r="B20" s="12">
        <f>COUNTIF(Features!B:B,"Team &amp; Portfolio")</f>
      </c>
      <c r="C20" s="12">
        <f>COUNTIFS(Features!B:B,"Team &amp; Portfolio",Features!J:J,"Yes")</f>
      </c>
      <c r="D20" s="13">
        <f>IFERROR(C20/B20,0)</f>
      </c>
      <c r="E20" s="12">
        <f>COUNTIFS(Features!B:B,"Team &amp; Portfolio",Features!H:H,"v1.0")</f>
      </c>
      <c r="F20" s="12">
        <f>COUNTIFS(Features!B:B,"Team &amp; Portfolio",Features!H:H,"v1.5")</f>
      </c>
      <c r="G20" s="12">
        <f>COUNTIFS(Features!B:B,"Team &amp; Portfolio",Features!H:H,"v2.0")</f>
      </c>
      <c r="H20" s="12">
        <f>COUNTIFS(Features!B:B,"Team &amp; Portfolio",Features!H:H,"v2.5")</f>
      </c>
      <c r="I20" s="12">
        <f>COUNTIFS(Features!B:B,"Team &amp; Portfolio",Features!H:H,"v3.0+")</f>
      </c>
      <c r="J20" s="12">
        <f>COUNTIFS(Features!B:B,"Team &amp; Portfolio",Features!H:H,"Skip")</f>
      </c>
    </row>
    <row r="21" spans="1:10" s="12" customFormat="1" x14ac:dyDescent="0.25">
      <c r="A21" s="12" t="s">
        <v>565</v>
      </c>
      <c r="B21" s="12">
        <f>COUNTIF(Features!B:B,"Admin &amp; Ops")</f>
      </c>
      <c r="C21" s="12">
        <f>COUNTIFS(Features!B:B,"Admin &amp; Ops",Features!J:J,"Yes")</f>
      </c>
      <c r="D21" s="13">
        <f>IFERROR(C21/B21,0)</f>
      </c>
      <c r="E21" s="12">
        <f>COUNTIFS(Features!B:B,"Admin &amp; Ops",Features!H:H,"v1.0")</f>
      </c>
      <c r="F21" s="12">
        <f>COUNTIFS(Features!B:B,"Admin &amp; Ops",Features!H:H,"v1.5")</f>
      </c>
      <c r="G21" s="12">
        <f>COUNTIFS(Features!B:B,"Admin &amp; Ops",Features!H:H,"v2.0")</f>
      </c>
      <c r="H21" s="12">
        <f>COUNTIFS(Features!B:B,"Admin &amp; Ops",Features!H:H,"v2.5")</f>
      </c>
      <c r="I21" s="12">
        <f>COUNTIFS(Features!B:B,"Admin &amp; Ops",Features!H:H,"v3.0+")</f>
      </c>
      <c r="J21" s="12">
        <f>COUNTIFS(Features!B:B,"Admin &amp; Ops",Features!H:H,"Skip")</f>
      </c>
    </row>
    <row r="22" spans="1:10" s="12" customFormat="1" x14ac:dyDescent="0.25">
      <c r="A22" s="12" t="s">
        <v>594</v>
      </c>
      <c r="B22" s="12">
        <f>COUNTIF(Features!B:B,"Infra")</f>
      </c>
      <c r="C22" s="12">
        <f>COUNTIFS(Features!B:B,"Infra",Features!J:J,"Yes")</f>
      </c>
      <c r="D22" s="13">
        <f>IFERROR(C22/B22,0)</f>
      </c>
      <c r="E22" s="12">
        <f>COUNTIFS(Features!B:B,"Infra",Features!H:H,"v1.0")</f>
      </c>
      <c r="F22" s="12">
        <f>COUNTIFS(Features!B:B,"Infra",Features!H:H,"v1.5")</f>
      </c>
      <c r="G22" s="12">
        <f>COUNTIFS(Features!B:B,"Infra",Features!H:H,"v2.0")</f>
      </c>
      <c r="H22" s="12">
        <f>COUNTIFS(Features!B:B,"Infra",Features!H:H,"v2.5")</f>
      </c>
      <c r="I22" s="12">
        <f>COUNTIFS(Features!B:B,"Infra",Features!H:H,"v3.0+")</f>
      </c>
      <c r="J22" s="12">
        <f>COUNTIFS(Features!B:B,"Infra",Features!H:H,"Skip")</f>
      </c>
    </row>
    <row r="23" spans="1:10" s="14" customFormat="1" x14ac:dyDescent="0.25">
      <c r="A23" s="14" t="s">
        <v>633</v>
      </c>
      <c r="B23" s="14">
        <f>SUM(B2:B22)</f>
      </c>
      <c r="C23" s="14">
        <f>SUM(C2:C22)</f>
      </c>
      <c r="D23" s="15">
        <f>IFERROR(C23/B23,0)</f>
      </c>
      <c r="E23" s="14">
        <f>SUM(E2:E22)</f>
      </c>
      <c r="F23" s="14">
        <f>SUM(F2:F22)</f>
      </c>
      <c r="G23" s="14">
        <f>SUM(G2:G22)</f>
      </c>
      <c r="H23" s="14">
        <f>SUM(H2:H22)</f>
      </c>
      <c r="I23" s="14">
        <f>SUM(I2:I22)</f>
      </c>
      <c r="J23" s="14">
        <f>SUM(J2:J22)</f>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cols>
    <col min="1" max="1" width="12" customWidth="1"/>
    <col min="2" max="2" width="24" customWidth="1"/>
    <col min="3" max="3" width="14" customWidth="1"/>
    <col min="4" max="4" width="80" customWidth="1"/>
    <col min="5" max="5" width="70" customWidth="1"/>
    <col min="6" max="6" width="16" customWidth="1"/>
  </cols>
  <sheetData>
    <row r="1" ht="22" customHeight="1" spans="1:6" s="16" customFormat="1" x14ac:dyDescent="0.25">
      <c r="A1" s="16" t="s">
        <v>634</v>
      </c>
      <c r="B1" s="16" t="s">
        <v>635</v>
      </c>
      <c r="C1" s="16" t="s">
        <v>636</v>
      </c>
      <c r="D1" s="16" t="s">
        <v>637</v>
      </c>
      <c r="E1" s="16" t="s">
        <v>638</v>
      </c>
      <c r="F1" s="16" t="s">
        <v>639</v>
      </c>
    </row>
    <row r="2" ht="180" customHeight="1" spans="1:6" s="2" customFormat="1" x14ac:dyDescent="0.25">
      <c r="A2" s="17" t="s">
        <v>17</v>
      </c>
      <c r="B2" s="18" t="s">
        <v>640</v>
      </c>
      <c r="C2" s="19" t="s">
        <v>641</v>
      </c>
      <c r="D2" s="2" t="s">
        <v>642</v>
      </c>
      <c r="E2" s="2" t="s">
        <v>643</v>
      </c>
      <c r="F2" s="8" t="s">
        <v>644</v>
      </c>
    </row>
    <row r="3" ht="180" customHeight="1" spans="1:6" s="2" customFormat="1" x14ac:dyDescent="0.25">
      <c r="A3" s="20" t="s">
        <v>33</v>
      </c>
      <c r="B3" s="18" t="s">
        <v>645</v>
      </c>
      <c r="C3" s="19" t="s">
        <v>646</v>
      </c>
      <c r="D3" s="2" t="s">
        <v>647</v>
      </c>
      <c r="E3" s="2" t="s">
        <v>648</v>
      </c>
      <c r="F3" s="7" t="s">
        <v>649</v>
      </c>
    </row>
    <row r="4" ht="180" customHeight="1" spans="1:6" s="2" customFormat="1" x14ac:dyDescent="0.25">
      <c r="A4" s="21" t="s">
        <v>227</v>
      </c>
      <c r="B4" s="18" t="s">
        <v>650</v>
      </c>
      <c r="C4" s="19" t="s">
        <v>646</v>
      </c>
      <c r="D4" s="2" t="s">
        <v>651</v>
      </c>
      <c r="E4" s="2" t="s">
        <v>652</v>
      </c>
      <c r="F4" s="5" t="s">
        <v>653</v>
      </c>
    </row>
    <row r="5" ht="180" customHeight="1" spans="1:6" s="2" customFormat="1" x14ac:dyDescent="0.25">
      <c r="A5" s="22" t="s">
        <v>48</v>
      </c>
      <c r="B5" s="18" t="s">
        <v>654</v>
      </c>
      <c r="C5" s="19" t="s">
        <v>641</v>
      </c>
      <c r="D5" s="2" t="s">
        <v>655</v>
      </c>
      <c r="E5" s="2" t="s">
        <v>656</v>
      </c>
      <c r="F5" s="4" t="s">
        <v>657</v>
      </c>
    </row>
    <row r="6" ht="180" customHeight="1" spans="1:6" s="2" customFormat="1" x14ac:dyDescent="0.25">
      <c r="A6" s="23" t="s">
        <v>390</v>
      </c>
      <c r="B6" s="18" t="s">
        <v>658</v>
      </c>
      <c r="C6" s="19" t="s">
        <v>659</v>
      </c>
      <c r="D6" s="2" t="s">
        <v>660</v>
      </c>
      <c r="E6" s="2" t="s">
        <v>661</v>
      </c>
      <c r="F6" s="10" t="s">
        <v>662</v>
      </c>
    </row>
    <row r="7" ht="180" customHeight="1" spans="1:6" s="2" customFormat="1" x14ac:dyDescent="0.25">
      <c r="A7" s="24" t="s">
        <v>55</v>
      </c>
      <c r="B7" s="18" t="s">
        <v>663</v>
      </c>
      <c r="C7" s="19" t="s">
        <v>664</v>
      </c>
      <c r="D7" s="2" t="s">
        <v>665</v>
      </c>
      <c r="E7" s="2" t="s">
        <v>666</v>
      </c>
      <c r="F7" s="9" t="s">
        <v>667</v>
      </c>
    </row>
    <row r="9" spans="1:6" s="25" customFormat="1" x14ac:dyDescent="0.25">
      <c r="A9" s="25" t="s">
        <v>668</v>
      </c>
      <c r="B9" s="25"/>
      <c r="C9" s="25"/>
      <c r="D9" s="25"/>
      <c r="E9" s="25"/>
      <c r="F9" s="25"/>
    </row>
    <row r="10" ht="50" customHeight="1" spans="1:6" s="26" customFormat="1" x14ac:dyDescent="0.25">
      <c r="A10" s="27" t="s">
        <v>669</v>
      </c>
      <c r="B10" s="26" t="s">
        <v>670</v>
      </c>
      <c r="C10" s="26" t="s">
        <v>671</v>
      </c>
      <c r="D10" s="26" t="s">
        <v>672</v>
      </c>
      <c r="E10" s="26"/>
      <c r="F10" s="26"/>
    </row>
    <row r="11" ht="50" customHeight="1" spans="1:6" s="26" customFormat="1" x14ac:dyDescent="0.25">
      <c r="A11" s="27" t="s">
        <v>673</v>
      </c>
      <c r="B11" s="26" t="s">
        <v>674</v>
      </c>
      <c r="C11" s="26" t="s">
        <v>671</v>
      </c>
      <c r="D11" s="26" t="s">
        <v>675</v>
      </c>
      <c r="E11" s="26"/>
      <c r="F11" s="26"/>
    </row>
    <row r="12" ht="50" customHeight="1" spans="1:6" s="26" customFormat="1" x14ac:dyDescent="0.25">
      <c r="A12" s="27" t="s">
        <v>676</v>
      </c>
      <c r="B12" s="26" t="s">
        <v>677</v>
      </c>
      <c r="C12" s="26" t="s">
        <v>671</v>
      </c>
      <c r="D12" s="26" t="s">
        <v>678</v>
      </c>
      <c r="E12" s="26"/>
      <c r="F12" s="26"/>
    </row>
    <row r="13" ht="50" customHeight="1" spans="1:6" s="26" customFormat="1" x14ac:dyDescent="0.25">
      <c r="A13" s="27" t="s">
        <v>679</v>
      </c>
      <c r="B13" s="26" t="s">
        <v>680</v>
      </c>
      <c r="C13" s="26" t="s">
        <v>671</v>
      </c>
      <c r="D13" s="26" t="s">
        <v>681</v>
      </c>
      <c r="E13" s="26"/>
      <c r="F13" s="26"/>
    </row>
  </sheetData>
  <mergeCells count="5">
    <mergeCell ref="A9:F9"/>
    <mergeCell ref="D10:F10"/>
    <mergeCell ref="D11:F11"/>
    <mergeCell ref="D12:F12"/>
    <mergeCell ref="D13: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32" customWidth="1"/>
    <col min="2" max="2" width="100" customWidth="1"/>
  </cols>
  <sheetData>
    <row r="1" ht="22" customHeight="1" spans="1:2" s="11" customFormat="1" x14ac:dyDescent="0.25">
      <c r="A1" s="11" t="s">
        <v>682</v>
      </c>
      <c r="B1" s="11" t="s">
        <v>683</v>
      </c>
    </row>
    <row r="2" ht="70" customHeight="1" spans="1:2" s="2" customFormat="1" x14ac:dyDescent="0.25">
      <c r="A2" s="28" t="s">
        <v>684</v>
      </c>
      <c r="B2" s="2" t="s">
        <v>685</v>
      </c>
    </row>
    <row r="3" ht="70" customHeight="1" spans="1:2" s="2" customFormat="1" x14ac:dyDescent="0.25">
      <c r="A3" s="28" t="s">
        <v>686</v>
      </c>
      <c r="B3" s="2" t="s">
        <v>687</v>
      </c>
    </row>
    <row r="4" ht="70" customHeight="1" spans="1:2" s="2" customFormat="1" x14ac:dyDescent="0.25">
      <c r="A4" s="28" t="s">
        <v>688</v>
      </c>
      <c r="B4" s="2" t="s">
        <v>689</v>
      </c>
    </row>
    <row r="5" ht="70" customHeight="1" spans="1:2" s="2" customFormat="1" x14ac:dyDescent="0.25">
      <c r="A5" s="28" t="s">
        <v>690</v>
      </c>
      <c r="B5" s="2" t="s">
        <v>691</v>
      </c>
    </row>
    <row r="6" ht="70" customHeight="1" spans="1:2" s="2" customFormat="1" x14ac:dyDescent="0.25">
      <c r="A6" s="28" t="s">
        <v>692</v>
      </c>
      <c r="B6" s="2" t="s">
        <v>693</v>
      </c>
    </row>
    <row r="7" ht="70" customHeight="1" spans="1:2" s="2" customFormat="1" x14ac:dyDescent="0.25">
      <c r="A7" s="28" t="s">
        <v>694</v>
      </c>
      <c r="B7" s="2" t="s">
        <v>695</v>
      </c>
    </row>
    <row r="8" ht="70" customHeight="1" spans="1:2" s="2" customFormat="1" x14ac:dyDescent="0.25">
      <c r="A8" s="28" t="s">
        <v>696</v>
      </c>
      <c r="B8" s="2" t="s">
        <v>697</v>
      </c>
    </row>
    <row r="9" ht="70" customHeight="1" spans="1:2" s="2" customFormat="1" x14ac:dyDescent="0.25">
      <c r="A9" s="28" t="s">
        <v>698</v>
      </c>
      <c r="B9" s="2" t="s">
        <v>699</v>
      </c>
    </row>
    <row r="10" ht="70" customHeight="1" spans="1:2" s="2" customFormat="1" x14ac:dyDescent="0.25">
      <c r="A10" s="28" t="s">
        <v>700</v>
      </c>
      <c r="B10" s="2" t="s">
        <v>701</v>
      </c>
    </row>
    <row r="11" ht="70" customHeight="1" spans="1:2" s="2" customFormat="1" x14ac:dyDescent="0.25">
      <c r="A11" s="28" t="s">
        <v>702</v>
      </c>
      <c r="B11" s="2" t="s">
        <v>703</v>
      </c>
    </row>
    <row r="12" ht="70" customHeight="1" spans="1:2" s="2" customFormat="1" x14ac:dyDescent="0.25">
      <c r="A12" s="28" t="s">
        <v>704</v>
      </c>
      <c r="B12" s="2" t="s">
        <v>705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Features</vt:lpstr>
      <vt:lpstr>Summary</vt:lpstr>
      <vt:lpstr>Release Plan</vt:lpstr>
      <vt:lpstr>Migration Reality Check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OrgPrism</dc:creator>
  <dc:title/>
  <dc:subject/>
  <dc:description/>
  <cp:keywords/>
  <cp:category/>
  <cp:lastModifiedBy>Unknown</cp:lastModifiedBy>
  <dcterms:created xsi:type="dcterms:W3CDTF">2026-06-02T00:00:00Z</dcterms:created>
  <dcterms:modified xsi:type="dcterms:W3CDTF">2026-06-02T08:53:47Z</dcterms:modified>
</cp:coreProperties>
</file>